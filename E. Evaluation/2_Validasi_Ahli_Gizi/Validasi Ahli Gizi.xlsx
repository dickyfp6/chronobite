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Petunjuk" sheetId="2" r:id="rId5"/>
    <sheet state="visible" name="Rekap Penilaian" sheetId="3" r:id="rId6"/>
    <sheet state="visible" name="Case 1" sheetId="4" r:id="rId7"/>
    <sheet state="visible" name="Case 2" sheetId="5" r:id="rId8"/>
    <sheet state="visible" name="Case 3" sheetId="6" r:id="rId9"/>
    <sheet state="visible" name="Case 4" sheetId="7" r:id="rId10"/>
    <sheet state="visible" name="Case 5" sheetId="8" r:id="rId11"/>
    <sheet state="visible" name="Case 6" sheetId="9" r:id="rId12"/>
    <sheet state="visible" name="Case 7" sheetId="10" r:id="rId13"/>
    <sheet state="visible" name="Case 8" sheetId="11" r:id="rId14"/>
    <sheet state="visible" name="Case 9" sheetId="12" r:id="rId15"/>
    <sheet state="visible" name="Case 10" sheetId="13" r:id="rId16"/>
    <sheet state="visible" name="Case 11" sheetId="14" r:id="rId17"/>
    <sheet state="visible" name="Case 12" sheetId="15" r:id="rId18"/>
    <sheet state="visible" name="Case 13" sheetId="16" r:id="rId19"/>
  </sheets>
  <definedNames/>
  <calcPr/>
  <extLst>
    <ext uri="GoogleSheetsCustomDataVersion2">
      <go:sheetsCustomData xmlns:go="http://customooxmlschemas.google.com/" r:id="rId20" roundtripDataChecksum="wHH6M9PiC5aEtEyXcpr7RsnYoS+ZeLR1Uy5WCJ6h1sI="/>
    </ext>
  </extLst>
</workbook>
</file>

<file path=xl/sharedStrings.xml><?xml version="1.0" encoding="utf-8"?>
<sst xmlns="http://schemas.openxmlformats.org/spreadsheetml/2006/main" count="5180" uniqueCount="1015">
  <si>
    <t>OVERVIEW</t>
  </si>
  <si>
    <t>Sistem Rekomendasi Menu Diet Berbasis Genetic Algorithm untuk Penderita Penyakit Kronis dan Tidak Menular</t>
  </si>
  <si>
    <t>1 — TENTANG SISTEM</t>
  </si>
  <si>
    <t>Deskripsi</t>
  </si>
  <si>
    <t>Sistem ini adalah aplikasi berbasis website yang membantu pengguna merencanakan menu diet harian yang dipersonalisasi. Sistem ini dibuat dengan menggunakan Genetic Algorithm (GA) dan Greedy Algorithm. Sistem ini secara otomatis akan mencari kombinasi menu terbaik yang memenuhi kebutuhan nutrisi unik setiap pengguna berdasarkan profil fisik dan kondisi kesehatannya. Terdapat 5 penyakit yang tersedia di sistem dan pengguna bisa memilih 1 hingga 3 kondisi penyakit sesuai kondisi kesehatan. Penyakit tersebut meliputi
1. Diabetes Melitus Tipe 2
2. Hipertensi
3. Kardiovaskular
4. Hiperkolesterolemia
5. Penyakit Ginjal Stadium 1</t>
  </si>
  <si>
    <t>Status Sistem</t>
  </si>
  <si>
    <t>Sistem yang dibuat merupakan Sistem Pendukung Keputusan (Decision Support System), bukan pengganti konsultasi medis. Seluruh rekomendasi yang dihasilkan bersifat panduan awal dan tetap harus dikonsultasikan kepada dokter atau tenaga gizi profesional sebelum diterapkan.</t>
  </si>
  <si>
    <t>Dataset</t>
  </si>
  <si>
    <r>
      <rPr>
        <rFont val="Calibri"/>
        <color rgb="FF000000"/>
        <sz val="11.0"/>
      </rPr>
      <t xml:space="preserve">Dataset berasal dari </t>
    </r>
    <r>
      <rPr>
        <rFont val="Calibri"/>
        <i/>
        <color rgb="FF000000"/>
        <sz val="11.0"/>
      </rPr>
      <t>United States Department of Agriculture</t>
    </r>
    <r>
      <rPr>
        <rFont val="Calibri"/>
        <color rgb="FF000000"/>
        <sz val="11.0"/>
      </rPr>
      <t xml:space="preserve"> (USDA) National Nutrient Database, dimana dataset tersebut telah melalui proses pembersihan data (preprocessing) dilakukan dengan menghapus produk tidak layak konsumsi, produk yang tidak sesuai syariat (haram), serta data dengan nilai nutrisi tidak valid. Total data yang digunakan saat ini yakni ±2.800 item makanan dan minuman.
Catatan: Dataset USDA tidak mencakup semua makanan di dunia nyata, khususnya makanan lokal Indonesia. Hal ini merupakan salah satu keterbatasan yang terbuka untuk dikritisi.</t>
    </r>
  </si>
  <si>
    <t>Target Pengguna</t>
  </si>
  <si>
    <t>Masyarakat umum (internasional), sistem berbasis website dalam Bahasa Inggris, dapat diakses oleh siapa saja tanpa batasan profesi. Pengguna dengan kondisi penyakit kronis sangat disarankan untuk tetap berkonsultasi dengan tenaga medis.</t>
  </si>
  <si>
    <t>2 — OUTPUT SISTEM</t>
  </si>
  <si>
    <t>Struktur Output (per hari)</t>
  </si>
  <si>
    <t>Sistem menghasilkan 1 rencana menu lengkap untuk 1 hari dengan struktur berikut:
• Breakfast   : Main Course, Side Dish, Drink
• Lunch        : Main Course, Side Dish, Drink
• Dinner       : Main Course, Side Dish, Drink
• Snack
Sistem web menghasilkan tiga pilihan menu pada setiap waktu makan. Pengguna memilih satu dari tiga alternatif tersebut sehingga terbentuk menu harian yang terdiri atas 10 item makanan/minuman. Pada lembar evaluasi ini, hanya ditampilkan menu yang dipilih pengguna sebagai representasi hasil akhir rekomendasi sistem.</t>
  </si>
  <si>
    <t>Distribusi Kalori per Waktu Makan</t>
  </si>
  <si>
    <t>Breakfast (Sarapan): 23,75%  |  Lunch (Makan Siang): 33,75%
Dinner (Makan Malam): 28,75%  |  Snack: 13,75%
Nilai ini merupakan konstanta yang di-hardcode dalam sistem dan menjadi salah satu aspek yang divalidasi pada Kriteria I di setiap form case.</t>
  </si>
  <si>
    <t>3 — KONDISI PENYAKIT YANG DIANALISIS  (13 Skenario)</t>
  </si>
  <si>
    <t>No  |  Kondisi Penyakit</t>
  </si>
  <si>
    <t>Nutrisi yang Dibatasi / Diprioritaskan</t>
  </si>
  <si>
    <t xml:space="preserve">  01  —  Normal</t>
  </si>
  <si>
    <t>Lihat pada guideline</t>
  </si>
  <si>
    <t xml:space="preserve">  02  —  Diabetes Melitus Tipe 2</t>
  </si>
  <si>
    <t xml:space="preserve">  03  —  Hipertensi</t>
  </si>
  <si>
    <t xml:space="preserve">  04  —  Cardiovascular Disease (CVD)</t>
  </si>
  <si>
    <t xml:space="preserve">  05  —  Hiperkolesterolemia</t>
  </si>
  <si>
    <t xml:space="preserve">  06  —  Chronic Kidney Disease (CKD) Stadium 1</t>
  </si>
  <si>
    <t xml:space="preserve">  07  —  Diabetes + Hipertensi</t>
  </si>
  <si>
    <t xml:space="preserve">  08  —  Diabetes + Hiperkolesterolemia</t>
  </si>
  <si>
    <t xml:space="preserve">  09  —  Hipertensi + CVD</t>
  </si>
  <si>
    <t xml:space="preserve">  10  —  CKD + Hipertensi</t>
  </si>
  <si>
    <t xml:space="preserve">  11  —  Diabetes + Hipertensi + Hiperkolesterolemia</t>
  </si>
  <si>
    <t xml:space="preserve">  12  —  CKD + Diabetes + Hipertensi</t>
  </si>
  <si>
    <t xml:space="preserve">  13  —  Hipertensi + Hiperkolesterolemia + CVD</t>
  </si>
  <si>
    <t>4 — PERAN AHLI GIZI DALAM VALIDASI INI</t>
  </si>
  <si>
    <t>Tujuan Validasi</t>
  </si>
  <si>
    <t>Validasi oleh ahli gizi merupakan bagian inti dari penelitian ini. Penilaian ahli gizi akan digunakan untuk mengukur sejauh mana sistem mampu menghasilkan rekomendasi yang tidak hanya valid secara komputasional, tetapi juga relevan secara klinis dan dapat diterima dalam praktik gizi nyata.</t>
  </si>
  <si>
    <t>Yang Dinilai
(Kriteria A–I)</t>
  </si>
  <si>
    <t>A. Kesesuaian menu dengan kondisi penyakit
B. Kesesuaian total energi harian
C. Kesesuaian distribusi makronutrien (karbohidrat, protein, lemak)
D. Ketepatan pembatasan nutrisi khusus per penyakit
E. Realisme kombinasi menu untuk konsumsi sehari-hari
F. Variasi dan keberterimaan menu
G. Penilaian keseluruhan kelayakan menu
H. Kesesuaian porsi dan ukuran sajian
I. Ketepatan distribusi kalori per waktu makan</t>
  </si>
  <si>
    <t>Yang Diharapkan
dari Ahli Gizi</t>
  </si>
  <si>
    <t>Selain skor numerik (1–5), masukan kualitatif sangat diharapkan, terutama mengenai:
• Jenis makanan yang sebaiknya ditambahkan atau dikeluarkan dari database
• Batasan nutrisi yang dinilai terlalu ketat atau terlalu longgar
• Potensi dan hambatan implementasi sistem di fasilitas kesehatan</t>
  </si>
  <si>
    <t>Terima kasih atas waktu dan kontribusi Ibu Ahli Gizi. Setiap masukan sangat berharga untuk pengembangan sistem yang lebih baik</t>
  </si>
  <si>
    <t>FORM VALIDASI AHLI GIZI</t>
  </si>
  <si>
    <t>Instrumen Penilaian Kualitas Sistem Rekomendasi Menu Diet Berbasis Genetic Algorithm</t>
  </si>
  <si>
    <t>Tugas Akhir  ·  Sistem Pendukung Keputusan</t>
  </si>
  <si>
    <t>BAGIAN 1 — TUJUAN PENELITIAN</t>
  </si>
  <si>
    <t>Judul Penelitian</t>
  </si>
  <si>
    <t>Implementasi Genetic Algorithm untuk Penentuan Menu Diet Sehat Bagi Penderita Penyakit Kronis dan Tidak Menular</t>
  </si>
  <si>
    <t>Tujuan Utama</t>
  </si>
  <si>
    <t>Merancang sistem rekomendasi menu diet harian yang dipersonalisasi berdasarkan profil pengguna (usia, berat badan, tinggi badan, jenis kelamin, aktivitas, kondisi penyakit) menggunakan Genetic Algorithm (GA) dan Greedy Algorithm dengan dataset nutrisi USDA.</t>
  </si>
  <si>
    <t>Mendapatkan penilaian ahli gizi klinis terhadap kualitas output menu yang dihasilkan sistem, meliputi kesesuaian nutrisi, realisme menu, ketepatan pembatasan penyakit, dan kelayakan klinis secara umum.</t>
  </si>
  <si>
    <t>BAGIAN 3 — PETUNJUK PENGISIAN FORM</t>
  </si>
  <si>
    <t>Langkah 1</t>
  </si>
  <si>
    <t>Buka sheet Case 1 s.d. Case 13 secara berurutan.</t>
  </si>
  <si>
    <t>Langkah 2</t>
  </si>
  <si>
    <t>Baca Bagian 1 (Profil User) dan Bagian 3 (Menu Rekomendasi) untuk memahami kondisi pasien.</t>
  </si>
  <si>
    <t>Langkah 3</t>
  </si>
  <si>
    <t xml:space="preserve">Cek Bagian 2 (Kebutuhan Nutrisi), Bagian 5 (Hard Constraint), dan Bagian 6 (Soft Constraint). </t>
  </si>
  <si>
    <t>Langkah 4</t>
  </si>
  <si>
    <t>Pada Bagian 7 (Form Penilaian), klik sel kolom SKOR lalu pilih nilai 1–5 dari dropdown. Jangan ketik manual agar Rekap terhitung otomatis.</t>
  </si>
  <si>
    <t>Langkah 5</t>
  </si>
  <si>
    <t>Isi Bagian 8 (Komentar &amp; Saran) dengan tiga aspek: Catatan Klinis Menu, Kesesuaian Panduan Gizi, dan Kelayakan Implementasi Klinis.</t>
  </si>
  <si>
    <t>Langkah 6</t>
  </si>
  <si>
    <t>Ulangi Langkah 1–5 untuk semua 13 case.</t>
  </si>
  <si>
    <t>BAGIAN 4 — SKALA PENILAIAN (1–5)</t>
  </si>
  <si>
    <t xml:space="preserve">  1  —  Sangat Tidak Sesuai</t>
  </si>
  <si>
    <t>Menu sama sekali tidak memenuhi kriteria. Terdapat kesalahan fundamental yang berpotensi membahayakan kondisi pasien.</t>
  </si>
  <si>
    <t xml:space="preserve">  2  —  Tidak Sesuai</t>
  </si>
  <si>
    <t>Ada upaya pemenuhan kriteria namun masih jauh dari standar klinis. Perlu perbaikan signifikan sebelum dapat digunakan.</t>
  </si>
  <si>
    <t xml:space="preserve">  3  —  Cukup Sesuai</t>
  </si>
  <si>
    <t>Memenuhi sebagian besar kriteria namun terdapat kekurangan yang perlu diperbaiki. Masih dapat diterima dengan catatan.</t>
  </si>
  <si>
    <t xml:space="preserve">  4  —  Sesuai</t>
  </si>
  <si>
    <t>Memenuhi standar gizi klinis dengan baik. Kekurangan yang ada bersifat minor dan tidak signifikan secara klinis.</t>
  </si>
  <si>
    <t xml:space="preserve">  5  —  Sangat Sesuai</t>
  </si>
  <si>
    <t>Memenuhi semua kriteria secara optimal sesuai pedoman gizi klinis. Layak direkomendasikan tanpa catatan perbaikan berarti.</t>
  </si>
  <si>
    <t>BAGIAN 5 — TAUTAN REFERENSI</t>
  </si>
  <si>
    <t>Website Sistem</t>
  </si>
  <si>
    <t>https://chronobite.vercel.app/</t>
  </si>
  <si>
    <t>Link Dataset USDA (yang sudah dibersihkan)</t>
  </si>
  <si>
    <t>Dataset Cleaned.xlsx</t>
  </si>
  <si>
    <t>Sumber Dataset</t>
  </si>
  <si>
    <r>
      <rPr>
        <color rgb="FF1155CC"/>
        <u/>
      </rPr>
      <t>USDA FoodData Central</t>
    </r>
  </si>
  <si>
    <t>Link DRI (Dietary Reference Intake)</t>
  </si>
  <si>
    <t>Dietary Reference Intake.xlsx</t>
  </si>
  <si>
    <t>Sumber DRI</t>
  </si>
  <si>
    <r>
      <rPr>
        <color rgb="FF1155CC"/>
        <u/>
      </rPr>
      <t>Nutrient Recommendations and Databases</t>
    </r>
  </si>
  <si>
    <t>Rekap Guideline Nutrisi per Penyakit</t>
  </si>
  <si>
    <t>Guideline.xlsx</t>
  </si>
  <si>
    <t>Sumber Guideline</t>
  </si>
  <si>
    <t>01. Guideline</t>
  </si>
  <si>
    <t>REKAP PENILAIAN AHLI GIZI — SEMUA CASE (GENETIC ALGORITHM)</t>
  </si>
  <si>
    <t>REKAP PENILAIAN AHLI GIZI — SEMUA CASE (GREEDY ALGORITHM)</t>
  </si>
  <si>
    <t>Skor diambil otomatis dari masing-masing sheet Case. Isi data pada sheet Case 1–13 terlebih dahulu.</t>
  </si>
  <si>
    <t>No</t>
  </si>
  <si>
    <t>Kondisi Penyakit</t>
  </si>
  <si>
    <t>A</t>
  </si>
  <si>
    <t>B</t>
  </si>
  <si>
    <t>C</t>
  </si>
  <si>
    <t>D</t>
  </si>
  <si>
    <t>E</t>
  </si>
  <si>
    <t>F</t>
  </si>
  <si>
    <t>G</t>
  </si>
  <si>
    <t>H</t>
  </si>
  <si>
    <t>I</t>
  </si>
  <si>
    <t>Rata-rata</t>
  </si>
  <si>
    <t>Komentar</t>
  </si>
  <si>
    <t>Kondisi
Penyakit</t>
  </si>
  <si>
    <t>Energi</t>
  </si>
  <si>
    <t>Makronutrien</t>
  </si>
  <si>
    <t>Nutrisi
Khusus</t>
  </si>
  <si>
    <t>Realisme</t>
  </si>
  <si>
    <t>Variasi</t>
  </si>
  <si>
    <t>Overall</t>
  </si>
  <si>
    <t>Porsi</t>
  </si>
  <si>
    <t>Distribusi
Waktu</t>
  </si>
  <si>
    <t>NORMAL</t>
  </si>
  <si>
    <t>DIABETES MELITUS TYPE 2</t>
  </si>
  <si>
    <t>HYPERTENSION</t>
  </si>
  <si>
    <t>CARDIOVASCULAR DISEASE</t>
  </si>
  <si>
    <t>HYPERCHOLESTEROLEMIA</t>
  </si>
  <si>
    <t>CHRONIC KIDNEY DISEASE STAGE 1</t>
  </si>
  <si>
    <t>DIABETES + HYPERTENSION</t>
  </si>
  <si>
    <t>DIABETES + HYPERCHOLESTEROLEMIA</t>
  </si>
  <si>
    <t>HYPERTENSION + CARDIOVASCULAR DISEASE</t>
  </si>
  <si>
    <t>CKD + HYPERTENSION</t>
  </si>
  <si>
    <t>DIABETES + HYPERTENSION + HYPERCHOLESTEROLEMIA</t>
  </si>
  <si>
    <t>CKD + DIABETES + HYPERTENSION</t>
  </si>
  <si>
    <t>HYPERTENSION + HYPERCHOLESTEROLEMIA + CVD</t>
  </si>
  <si>
    <t>RATA-RATA PER KRITERIA →</t>
  </si>
  <si>
    <t>Grand Average</t>
  </si>
  <si>
    <t>PANDUAN INTERPRETASI SKOR</t>
  </si>
  <si>
    <t>1,00 – 1,99</t>
  </si>
  <si>
    <t>Sangat Tidak Sesuai</t>
  </si>
  <si>
    <t>Perlu perombakan total pada sistem</t>
  </si>
  <si>
    <t>2,00 – 2,99</t>
  </si>
  <si>
    <t>Tidak Sesuai</t>
  </si>
  <si>
    <t>Perlu perbaikan signifikan</t>
  </si>
  <si>
    <t>3,00 – 3,99</t>
  </si>
  <si>
    <t>Cukup Sesuai</t>
  </si>
  <si>
    <t>Perlu perbaikan minor</t>
  </si>
  <si>
    <t>4,00 – 4,59</t>
  </si>
  <si>
    <t>Sesuai</t>
  </si>
  <si>
    <t>Layak dengan catatan kecil</t>
  </si>
  <si>
    <t>4,60 – 5,00</t>
  </si>
  <si>
    <t>Sangat Sesuai</t>
  </si>
  <si>
    <t>Layak direkomendasikan</t>
  </si>
  <si>
    <t>CASE 1  —  NORMAL</t>
  </si>
  <si>
    <t>BAGIAN 1 — PROFIL USER</t>
  </si>
  <si>
    <t>BAGIAN 2 — KEBUTUHAN NUTRISI USER</t>
  </si>
  <si>
    <t>Usia</t>
  </si>
  <si>
    <t>BMR (kcal)</t>
  </si>
  <si>
    <t>Jenis Kelamin</t>
  </si>
  <si>
    <t>Pria</t>
  </si>
  <si>
    <t>TDEE (kcal)</t>
  </si>
  <si>
    <t>3142,1</t>
  </si>
  <si>
    <t>Berat Badan (kg)</t>
  </si>
  <si>
    <t>Energi Harian (kcal)</t>
  </si>
  <si>
    <t>2985.0 – 3299.2</t>
  </si>
  <si>
    <t>Tinggi Badan (cm)</t>
  </si>
  <si>
    <t>Protein (g)</t>
  </si>
  <si>
    <t>117.8 – 157.1</t>
  </si>
  <si>
    <t>Tingkat Aktivitas</t>
  </si>
  <si>
    <t>Sedang</t>
  </si>
  <si>
    <t>Lemak / Fat (g)</t>
  </si>
  <si>
    <t>87.3 – 104.7</t>
  </si>
  <si>
    <t>Normal</t>
  </si>
  <si>
    <t>Karbohidrat (g)</t>
  </si>
  <si>
    <t>429.1 – 474.3</t>
  </si>
  <si>
    <t>Air / Water (ml)</t>
  </si>
  <si>
    <t>≥ 3700.0</t>
  </si>
  <si>
    <t>BAGIAN 3 — MENU YANG DIREKOMENDASIKAN SISTEM</t>
  </si>
  <si>
    <t>🔵  GENETIC ALGORITHM (GA)</t>
  </si>
  <si>
    <t>🟢  GREEDY ALGORITHM</t>
  </si>
  <si>
    <t>Waktu Makan</t>
  </si>
  <si>
    <t>Menu / Makanan</t>
  </si>
  <si>
    <t>Porsi (g/ml)</t>
  </si>
  <si>
    <t>Kalori (kcal)</t>
  </si>
  <si>
    <t>Breakfast — Main Course 1</t>
  </si>
  <si>
    <t>Pan-Fried Ground Veal</t>
  </si>
  <si>
    <t>150 g</t>
  </si>
  <si>
    <t>Mexican Bread Roll</t>
  </si>
  <si>
    <t>115g</t>
  </si>
  <si>
    <t>365,7</t>
  </si>
  <si>
    <t>main course dan side dish kedunya roti? sebaiknya lebih bervarias</t>
  </si>
  <si>
    <t>Breakfast — Side Dish 1</t>
  </si>
  <si>
    <t>Homemade Hummus</t>
  </si>
  <si>
    <t>197 g</t>
  </si>
  <si>
    <t>Porsi bisa dikurangi, sebaiknya kalori side dish &lt; main course</t>
  </si>
  <si>
    <t>Dinner Rolls</t>
  </si>
  <si>
    <t>78g</t>
  </si>
  <si>
    <t>212,9</t>
  </si>
  <si>
    <t>Breakfast — Drink 1</t>
  </si>
  <si>
    <t>Homemade Hot Chocolate</t>
  </si>
  <si>
    <t>123 ml</t>
  </si>
  <si>
    <t>Strawberry Shake</t>
  </si>
  <si>
    <t>114ml</t>
  </si>
  <si>
    <t>128,8</t>
  </si>
  <si>
    <t>Lunch — Main Course 1</t>
  </si>
  <si>
    <t>Hush Puppies</t>
  </si>
  <si>
    <t>153 g</t>
  </si>
  <si>
    <t>double jagung (antara main course dan side dish), belum ada protein dan sayur</t>
  </si>
  <si>
    <t>Chow Mein Noodles</t>
  </si>
  <si>
    <t>122g</t>
  </si>
  <si>
    <t>574,6</t>
  </si>
  <si>
    <t>Lunch — Side Dish 1</t>
  </si>
  <si>
    <t>White Corn</t>
  </si>
  <si>
    <t>132 g</t>
  </si>
  <si>
    <t>apakah tidak diolah? hanya jagung putih utuh?</t>
  </si>
  <si>
    <t>Hard Rolls</t>
  </si>
  <si>
    <t>105g</t>
  </si>
  <si>
    <t>307,7</t>
  </si>
  <si>
    <t>kenapa side dishnya hard rolls? jadi doubel karbo</t>
  </si>
  <si>
    <t>Lunch — Drink 1</t>
  </si>
  <si>
    <t>Evaporated Milk</t>
  </si>
  <si>
    <t>100 ml</t>
  </si>
  <si>
    <t>121ml</t>
  </si>
  <si>
    <t>136,7</t>
  </si>
  <si>
    <t>Dinner — Main Course 1</t>
  </si>
  <si>
    <t>Toasted Wheat Germ Cereal</t>
  </si>
  <si>
    <t>134 g</t>
  </si>
  <si>
    <t>dari main course dam side dish belum ada protein dan sayur</t>
  </si>
  <si>
    <t>123g</t>
  </si>
  <si>
    <t>414,5</t>
  </si>
  <si>
    <t>kurang protein dan sayur</t>
  </si>
  <si>
    <t>Dinner — Side Dish 1</t>
  </si>
  <si>
    <t>Cottage-Cut French Fries</t>
  </si>
  <si>
    <t>119 g</t>
  </si>
  <si>
    <t>Oven-Heated French Fries</t>
  </si>
  <si>
    <t>120g</t>
  </si>
  <si>
    <t>232,8</t>
  </si>
  <si>
    <t>Dinner — Drink 1</t>
  </si>
  <si>
    <t>Fruit Punch Drink</t>
  </si>
  <si>
    <t>122ml</t>
  </si>
  <si>
    <t>137,9</t>
  </si>
  <si>
    <t>untuk minum ketiga waktu makan sama, sebaiknya dibedakan salah satu waktu</t>
  </si>
  <si>
    <t>Snack — Option 1</t>
  </si>
  <si>
    <t>Boiled European Chestnuts</t>
  </si>
  <si>
    <t>240 g</t>
  </si>
  <si>
    <t>porsi bisa dikurangin</t>
  </si>
  <si>
    <t>Sugar-Free Cream-Filled Cookies</t>
  </si>
  <si>
    <t>80g</t>
  </si>
  <si>
    <t>424,8</t>
  </si>
  <si>
    <t>BAGIAN 4 — DISTRIBUSI KALORI PER WAKTU MAKAN</t>
  </si>
  <si>
    <t>🟢  Greedy — Distribusi Kalori</t>
  </si>
  <si>
    <t>% Target</t>
  </si>
  <si>
    <t>Keterangan</t>
  </si>
  <si>
    <t>Aktual</t>
  </si>
  <si>
    <t>Breakfast (Sarapan)</t>
  </si>
  <si>
    <t>765,9</t>
  </si>
  <si>
    <t>Konstanta sistem</t>
  </si>
  <si>
    <t>Lunch (Makan Siang)</t>
  </si>
  <si>
    <t>1104,4</t>
  </si>
  <si>
    <t>Dinner (Makan Malam)</t>
  </si>
  <si>
    <t>946,3</t>
  </si>
  <si>
    <t>Snack</t>
  </si>
  <si>
    <t>314,4</t>
  </si>
  <si>
    <t>BAGIAN 5 — EVALUASI HARD CONSTRAINT</t>
  </si>
  <si>
    <t>🔵  GA — Hard Constraint</t>
  </si>
  <si>
    <t>🟢  Greedy — Hard Constraint</t>
  </si>
  <si>
    <t>Nutrisi</t>
  </si>
  <si>
    <t>Min – Max</t>
  </si>
  <si>
    <t>Aktual (diisi peneliti)</t>
  </si>
  <si>
    <t>Keterpenuhan (%)</t>
  </si>
  <si>
    <t>Energy (kcal)</t>
  </si>
  <si>
    <t>Fat (g)</t>
  </si>
  <si>
    <t>Carbohydrate (g)</t>
  </si>
  <si>
    <t>Sodium (mg)</t>
  </si>
  <si>
    <t>1500.0 – 2300.0</t>
  </si>
  <si>
    <t>Sugar (g)</t>
  </si>
  <si>
    <t>≤ 39.3</t>
  </si>
  <si>
    <t>Cholesterol (mg)</t>
  </si>
  <si>
    <t>≤ 300.0</t>
  </si>
  <si>
    <t>Saturated Fat (g)</t>
  </si>
  <si>
    <t>≤ 34.9</t>
  </si>
  <si>
    <t>BAGIAN 6 — EVALUASI SOFT CONSTRAINT (Vitamin &amp; Mineral)</t>
  </si>
  <si>
    <t>🔵  GA — Soft Constraint</t>
  </si>
  <si>
    <t>🟢  Greedy — Soft Constraint</t>
  </si>
  <si>
    <t>Target (DRI)</t>
  </si>
  <si>
    <t>Vitamin A (mg RAE)</t>
  </si>
  <si>
    <t>0.9 – 3.0</t>
  </si>
  <si>
    <t>21,11%</t>
  </si>
  <si>
    <t>Vitamin C (mg)</t>
  </si>
  <si>
    <t>90.0 – 2000.0</t>
  </si>
  <si>
    <t>Vitamin D (mg)</t>
  </si>
  <si>
    <t>0.0150 – 0.1</t>
  </si>
  <si>
    <t>Vitamin E (mg)</t>
  </si>
  <si>
    <t>15.0 – 1000.0</t>
  </si>
  <si>
    <t>Vitamin K (mg)</t>
  </si>
  <si>
    <t>Vitamin B1 (Thiamine) (mg)</t>
  </si>
  <si>
    <t>Vitamin B2 (Riboflavin) (mg)</t>
  </si>
  <si>
    <t>Vitamin B3 (Niacin) (mg)</t>
  </si>
  <si>
    <t>16.0 – 35.0</t>
  </si>
  <si>
    <t>Vitamin B5 (Pantothenic Acid) (mg)</t>
  </si>
  <si>
    <t>Vitamin B6 (mg)</t>
  </si>
  <si>
    <t>1.3 – 100.0</t>
  </si>
  <si>
    <t>Vitamin B9 (Folate) (mg)</t>
  </si>
  <si>
    <t>0.5 – 1.0</t>
  </si>
  <si>
    <t>Vitamin B12 (mg)</t>
  </si>
  <si>
    <t>Calcium (mg)</t>
  </si>
  <si>
    <t>1000.0 – 2500.0</t>
  </si>
  <si>
    <t>Iron / Zat Besi (mg)</t>
  </si>
  <si>
    <t>8.0 – 45.0</t>
  </si>
  <si>
    <t>Magnesium (mg)</t>
  </si>
  <si>
    <t>Phosphorus (mg)</t>
  </si>
  <si>
    <t>700.0 – 4000.0</t>
  </si>
  <si>
    <t>Potassium (mg)</t>
  </si>
  <si>
    <t>Zinc (mg)</t>
  </si>
  <si>
    <t>11.0 – 40.0</t>
  </si>
  <si>
    <t>Copper (mg)</t>
  </si>
  <si>
    <t>0.9 – 10.0</t>
  </si>
  <si>
    <t>Manganese (mg)</t>
  </si>
  <si>
    <t>2.3 – 11.0</t>
  </si>
  <si>
    <t>Selenium (mg)</t>
  </si>
  <si>
    <t>0.0550 – 0.4</t>
  </si>
  <si>
    <t>Serat / Fiber (g)</t>
  </si>
  <si>
    <t>BAGIAN 7 — FORM PENILAIAN AHLI GIZI  ★</t>
  </si>
  <si>
    <t>Petunjuk: Klik sel kolom SKOR lalu pilih nilai 1–5 dari dropdown. Kolom Interpretasi terisi otomatis.</t>
  </si>
  <si>
    <t>Kode</t>
  </si>
  <si>
    <t>Kriteria Penilaian</t>
  </si>
  <si>
    <t>Pertanyaan Panduan</t>
  </si>
  <si>
    <t>Skor (1-5)</t>
  </si>
  <si>
    <t>Interpretasi GA</t>
  </si>
  <si>
    <t>Catatan (GA)</t>
  </si>
  <si>
    <t>Interpretasi Greedy</t>
  </si>
  <si>
    <t>Catatan (Greedy)</t>
  </si>
  <si>
    <t>Kesesuaian dengan Kondisi Penyakit</t>
  </si>
  <si>
    <t>Apakah menu yang dihasilkan sudah sesuai dengan kebutuhan pasien pada kondisi penyakit tersebut?</t>
  </si>
  <si>
    <t>Karena kondisi pasien normal jadi tidak ada batasan makanan yang signifikan</t>
  </si>
  <si>
    <t>Kesesuaian Kebutuhan Energi</t>
  </si>
  <si>
    <t>Apakah total energi harian yang diberikan sudah sesuai dengan kebutuhan pengguna?</t>
  </si>
  <si>
    <t>TDEE terlalu besar, untuk laki-laki normal masih bisa di 2.500-3.000 kkal</t>
  </si>
  <si>
    <t>Kesesuaian Distribusi Makronutrien</t>
  </si>
  <si>
    <t>Apakah distribusi karbohidrat, protein, dan lemak sudah proporsional dan sesuai standar?</t>
  </si>
  <si>
    <t>Karena TDEE terlalu besar, distribusi makronutriennya pun berpengaruh menjadi besar</t>
  </si>
  <si>
    <t>Karena TDEE terlalu besar, distribusi makronutriennya pun berpengaruh menjadi besar. Persentase keterpenuhan protein masih kurang perlu ada tambahan lagi</t>
  </si>
  <si>
    <t>Kesesuaian Pembatasan Nutrisi Khusus</t>
  </si>
  <si>
    <t>Apakah pembatasan nutrisi spesifik per penyakit sudah diterapkan dengan tepat?</t>
  </si>
  <si>
    <t>Realisme Menu</t>
  </si>
  <si>
    <t>Apakah kombinasi makanan dalam menu realistis dan lazim untuk dikonsumsi sehari-hari?</t>
  </si>
  <si>
    <t>beberapa menu perlu diubah, karena kebutuhan protein dan sayurnya kurang</t>
  </si>
  <si>
    <t>Variasi dan Keberterimaan Menu</t>
  </si>
  <si>
    <t>Apakah menu cukup bervariasi antar waktu makan dan dapat diterima pengguna umum?</t>
  </si>
  <si>
    <t>terdapat menu yang kurang variatif karena terdapat pengulangan bahan dalam 1x makan</t>
  </si>
  <si>
    <t>pengulangan drink dalam 3x makan, bisa dibuat lebih variatif</t>
  </si>
  <si>
    <t>Penilaian Keseluruhan</t>
  </si>
  <si>
    <t>Secara keseluruhan, apakah menu yang dihasilkan sistem layak direkomendasikan kepada pengguna?</t>
  </si>
  <si>
    <t>cukup sesuai dengan beberapa catatan</t>
  </si>
  <si>
    <t>Kesesuaian Porsi dan Ukuran Sajian</t>
  </si>
  <si>
    <t>Apakah ukuran porsi (g/ml) yang direkomendasikan realistis dan sesuai standar gizi klinis?</t>
  </si>
  <si>
    <t>terdapat menu yang terlalu besar porsinya, masih bisa dikurangi</t>
  </si>
  <si>
    <t>Ketepatan Distribusi Waktu Makan</t>
  </si>
  <si>
    <t>Apakah pembagian kalori per waktu makan 
(Sarapan 23,75% · Siang 33,75% · Malam 28,75% · Snack 13,75%) sudah sesuai pedoman gizi klinis?</t>
  </si>
  <si>
    <t>RATA-RATA SKOR KESELURUHAN (Case ini)</t>
  </si>
  <si>
    <t>BAGIAN 8 — KOMENTAR DAN SARAN AHLI GIZI</t>
  </si>
  <si>
    <t>🔵  Komentar untuk GA</t>
  </si>
  <si>
    <t>🟢  Komentar untuk Greedy</t>
  </si>
  <si>
    <t>Catatan Klinis Menu</t>
  </si>
  <si>
    <t xml:space="preserve">  → Adakah item makanan dalam menu ini yang tidak lazim, berpotensi kontraindikasi, atau perlu diganti dari sudut pandang klinis?</t>
  </si>
  <si>
    <t>Karena pasien dalam kondisi sehat dan status gizi normal sehingga dapat menerima makanan apapun, namun diharapkan komponen makanannya bisa memenuhi kebutuhan asupannya dari karbo, protein hewani/nabati, sayur</t>
  </si>
  <si>
    <t>Kesesuaian Panduan Gizi</t>
  </si>
  <si>
    <t xml:space="preserve">  → Apakah rekomendasi nutrisi yang diterapkan sudah selaras dengan pedoman gizi klinis yang Bapak/Ibu gunakan dalam praktik? Jika tidak, pedoman apa yang lebih tepat?</t>
  </si>
  <si>
    <t>Beberapa menu makanan dalam 1x makan belum memenuhi pedoman gizi seimbang dan terdapat menu yang doubel karbo. Pastikan menu variatif dan memenuhi pedoman gizi seimbang</t>
  </si>
  <si>
    <t>Kelayakan Implementasi Klinis</t>
  </si>
  <si>
    <t xml:space="preserve">  → Apakah output sistem ini realistis untuk dijadikan acuan awal dalam konseling gizi di fasilitas kesehatan? Apa saran atau catatannya?</t>
  </si>
  <si>
    <t>realistis namun dengan catatan, terutama dalam penyesuaian menu</t>
  </si>
  <si>
    <t>CASE 2  —  DIABETES MELITUS TYPE 2</t>
  </si>
  <si>
    <t>1657,5</t>
  </si>
  <si>
    <t>1800.0 – 2200.0</t>
  </si>
  <si>
    <t>66.0 – 82.5</t>
  </si>
  <si>
    <t>≤ 73.3</t>
  </si>
  <si>
    <t>DM2</t>
  </si>
  <si>
    <t>274.3 – 303.2</t>
  </si>
  <si>
    <t>(diisi peneliti)</t>
  </si>
  <si>
    <t>Fish Sandwich with Tartar Sauce</t>
  </si>
  <si>
    <t>Salmon Nuggets</t>
  </si>
  <si>
    <t>138g</t>
  </si>
  <si>
    <t>260,8</t>
  </si>
  <si>
    <t>sebaiknya tidak menggunakan produk olahan</t>
  </si>
  <si>
    <t>Baked Butternut Squash</t>
  </si>
  <si>
    <t>Poi</t>
  </si>
  <si>
    <t>137g</t>
  </si>
  <si>
    <t>153,4</t>
  </si>
  <si>
    <t>kurang sayur</t>
  </si>
  <si>
    <t>Canned Purple Plums</t>
  </si>
  <si>
    <t>diganti saja, menu ini tinggi gula (39 gr)</t>
  </si>
  <si>
    <t>100ml</t>
  </si>
  <si>
    <t>Rice and Black Beans</t>
  </si>
  <si>
    <t>bisa dikurangi porsinya</t>
  </si>
  <si>
    <t>Cheese Pizza</t>
  </si>
  <si>
    <t>139g</t>
  </si>
  <si>
    <t>361,4</t>
  </si>
  <si>
    <t>121g</t>
  </si>
  <si>
    <t>214,2</t>
  </si>
  <si>
    <t>138ml</t>
  </si>
  <si>
    <t>139,4</t>
  </si>
  <si>
    <t>Breaded Salmon Nuggets</t>
  </si>
  <si>
    <t>Bean Pupusas</t>
  </si>
  <si>
    <t>132g</t>
  </si>
  <si>
    <t>302,3</t>
  </si>
  <si>
    <t>apakah sudah termasuk sayur?</t>
  </si>
  <si>
    <t>Cowpeas</t>
  </si>
  <si>
    <t>karbo dan sayur belum ada</t>
  </si>
  <si>
    <t>83g</t>
  </si>
  <si>
    <t>180,9</t>
  </si>
  <si>
    <t>Lowfat Milk</t>
  </si>
  <si>
    <t>108ml</t>
  </si>
  <si>
    <t>Roasted Chestnuts</t>
  </si>
  <si>
    <t>Plain Melba Toast</t>
  </si>
  <si>
    <t>304,2</t>
  </si>
  <si>
    <t>🔵  GA — Distribusi Kalori</t>
  </si>
  <si>
    <t>473,2</t>
  </si>
  <si>
    <t>23,75%</t>
  </si>
  <si>
    <t>743,2</t>
  </si>
  <si>
    <t>33,75%</t>
  </si>
  <si>
    <t>437,7</t>
  </si>
  <si>
    <t>28,75%</t>
  </si>
  <si>
    <t>303,5</t>
  </si>
  <si>
    <t>13,75%</t>
  </si>
  <si>
    <t>≤ 2300.0</t>
  </si>
  <si>
    <t>≤ 27.5</t>
  </si>
  <si>
    <t>20.0 – 35.0</t>
  </si>
  <si>
    <t>vitamin_c_mg</t>
  </si>
  <si>
    <t>75.0 – 90.0</t>
  </si>
  <si>
    <t>vitamin_a_rae_mg</t>
  </si>
  <si>
    <t>0.7 – 0.9</t>
  </si>
  <si>
    <t>Vitamin B6</t>
  </si>
  <si>
    <t>Vitamin B12</t>
  </si>
  <si>
    <t>8.0 – 18.0</t>
  </si>
  <si>
    <t>zinc_mg</t>
  </si>
  <si>
    <t>8.0 – 11.0</t>
  </si>
  <si>
    <t>950.0 – 1050.0</t>
  </si>
  <si>
    <t>2600.0 – 3400.0</t>
  </si>
  <si>
    <t>≤ 24.4</t>
  </si>
  <si>
    <t xml:space="preserve">cukup sesuai namun ada menu yang belum lengkap komponennya dengan gizi seimbang </t>
  </si>
  <si>
    <t>apakah menggunakan rumus perkeni?</t>
  </si>
  <si>
    <t>% keterpenuhan karbohidrat bisa dikurangi, max kan di 100% karena penderita DM terdapat batasan KH dan gula</t>
  </si>
  <si>
    <t>terdapat menu yang perlu diubah, karena kebutuhan karbo dan sayurnya kurang</t>
  </si>
  <si>
    <t>terdapat menu yang perlu diubah karena produk olahan dan kurang sayur</t>
  </si>
  <si>
    <t xml:space="preserve">menu sudah variatif </t>
  </si>
  <si>
    <t>masih terdapat menu dengan ukuran porsi banyak, sedangkan prinsip diet DM adalah porsi kecil tapi sering</t>
  </si>
  <si>
    <t>Ada, menu Breaded Salmon Nuggets karena makanan olahan kurang baik dikonsumsi oleh penderita DM</t>
  </si>
  <si>
    <t>Ada, menu salmon nuggets dan cheese pizza karena merupakan produk olahan kurang baik untuk penderita DM</t>
  </si>
  <si>
    <t>Beberapa menu makanan dalam 1x makan belum memenuhi pedoman gizi seimbang. Pastikan menu variatif dan memenuhi pedoman gizi seimbang</t>
  </si>
  <si>
    <t>CASE 3  —  HYPERTENSION</t>
  </si>
  <si>
    <t>1995.0 – 2205.0</t>
  </si>
  <si>
    <t>82.7 – 99.2</t>
  </si>
  <si>
    <t>60.5 – 66.9</t>
  </si>
  <si>
    <t>Hipertensi</t>
  </si>
  <si>
    <t>209.5 – 303.2</t>
  </si>
  <si>
    <t>Frozen Fish Sticks</t>
  </si>
  <si>
    <t>Sebaiknya tidak menggunakan produk olahan</t>
  </si>
  <si>
    <t>Whole Wheat French Bread</t>
  </si>
  <si>
    <t>315,5</t>
  </si>
  <si>
    <t>Baby Lima Beans</t>
  </si>
  <si>
    <t xml:space="preserve">bisa ditambahkan karbo </t>
  </si>
  <si>
    <t>131g</t>
  </si>
  <si>
    <t>146,7</t>
  </si>
  <si>
    <t>Creamy Vegetable Oil Milk</t>
  </si>
  <si>
    <t>sayur yang digunakan apa saja?</t>
  </si>
  <si>
    <t>Unsweetened Pineapple Juice</t>
  </si>
  <si>
    <t>Tuna Sub Sandwich</t>
  </si>
  <si>
    <t>porsinya dikurangi, bisa di 100-150 g</t>
  </si>
  <si>
    <t>Homemade Falafel</t>
  </si>
  <si>
    <t>130g</t>
  </si>
  <si>
    <t>432,9</t>
  </si>
  <si>
    <t>Boiled Safflower Seeds</t>
  </si>
  <si>
    <t>Raisin Bread</t>
  </si>
  <si>
    <t>87g</t>
  </si>
  <si>
    <t>238,4</t>
  </si>
  <si>
    <t>Hulled Barley</t>
  </si>
  <si>
    <t>Fried Tofu</t>
  </si>
  <si>
    <t>134g</t>
  </si>
  <si>
    <t>361,8</t>
  </si>
  <si>
    <t>kurang karbo</t>
  </si>
  <si>
    <t>Lite Buttermilk Dressing</t>
  </si>
  <si>
    <t>90g</t>
  </si>
  <si>
    <t>181,8</t>
  </si>
  <si>
    <t>apakah dengan sayur?</t>
  </si>
  <si>
    <t>Lemon Juice</t>
  </si>
  <si>
    <t>Frozen French Fries</t>
  </si>
  <si>
    <t>porsinya bisa dikurangi karena french fries jadi tinggi garam</t>
  </si>
  <si>
    <t>Rye Melba Toast</t>
  </si>
  <si>
    <t>303,4</t>
  </si>
  <si>
    <t>apakah terdapat campuran pada toast?</t>
  </si>
  <si>
    <t>505,6</t>
  </si>
  <si>
    <t>654,1</t>
  </si>
  <si>
    <t>551,5</t>
  </si>
  <si>
    <t>302,8</t>
  </si>
  <si>
    <t>≤ 27.6</t>
  </si>
  <si>
    <t>≤ 150.0</t>
  </si>
  <si>
    <t>≤ 14.7</t>
  </si>
  <si>
    <t>4465.0 – 4935.0</t>
  </si>
  <si>
    <t>800.0 – 1250.0</t>
  </si>
  <si>
    <t>magnesium_mg</t>
  </si>
  <si>
    <t>240.0 – 500.0</t>
  </si>
  <si>
    <t>30.0 – 38.0</t>
  </si>
  <si>
    <t>sudah cukup sesuai, namun sebaiknya tidak menggunakan produk olahan/produk tinggi sodium (garam)</t>
  </si>
  <si>
    <t>belum sesuai karena % sodium masih tinggi, bisa dikurangi dalam penggunaan sodium karena prinsip diet hipertensi adalah pembatasan sodium/garam</t>
  </si>
  <si>
    <t>terdapat menu yang perlu penambahan karbo dan sayur</t>
  </si>
  <si>
    <t>menu sudah bervariatif</t>
  </si>
  <si>
    <t>layak dengan beberapa catatan</t>
  </si>
  <si>
    <t>masih terdapat makanan dengan porsi yang banyak, perlu pengurangan porsi</t>
  </si>
  <si>
    <t>Karena pasien menderita penyakit hiertensi perlu beberapa pertimbangan terkait menu yang dipilih, pastikan menu yang rendah sodium/garam. Diet yang digunakan pasien hipertensi adalah rendah garam, jadi perlu diperhatikan pembatasan sodium/garamnya</t>
  </si>
  <si>
    <t>CASE 4  —  CARDIOVASCULAR DISEASE</t>
  </si>
  <si>
    <t>3058,1</t>
  </si>
  <si>
    <t>2905.2 – 3211.0</t>
  </si>
  <si>
    <t>114.7 – 191.1</t>
  </si>
  <si>
    <t>85.0 – 118.9</t>
  </si>
  <si>
    <t>CVD</t>
  </si>
  <si>
    <t>290.5 – 420.5</t>
  </si>
  <si>
    <t>Pan-Fried Top Round Beef</t>
  </si>
  <si>
    <t>100 g</t>
  </si>
  <si>
    <t>111g</t>
  </si>
  <si>
    <t>369,6</t>
  </si>
  <si>
    <t>Yellow Cornmeal</t>
  </si>
  <si>
    <t>136 g</t>
  </si>
  <si>
    <t>Corn Tortillas</t>
  </si>
  <si>
    <t>95g</t>
  </si>
  <si>
    <t>207,1</t>
  </si>
  <si>
    <t>Strawberry Banana Smoothie</t>
  </si>
  <si>
    <t>110ml</t>
  </si>
  <si>
    <t>111,1</t>
  </si>
  <si>
    <t>157 g</t>
  </si>
  <si>
    <t>kedua menu pengolahannya di goreng, bisa di ganti 1 menu non goreng</t>
  </si>
  <si>
    <t>140g</t>
  </si>
  <si>
    <t>534,8</t>
  </si>
  <si>
    <t>kurang protein</t>
  </si>
  <si>
    <t>French Fries</t>
  </si>
  <si>
    <t>172 g</t>
  </si>
  <si>
    <t>kurangi porsinya, kurang sayur</t>
  </si>
  <si>
    <t>Dried Cloud Ears</t>
  </si>
  <si>
    <t>102g</t>
  </si>
  <si>
    <t>289,7</t>
  </si>
  <si>
    <t>103 ml</t>
  </si>
  <si>
    <t>Low Fat Fruit Yogurt</t>
  </si>
  <si>
    <t>139ml</t>
  </si>
  <si>
    <t>141,8</t>
  </si>
  <si>
    <t>buah apa saja yang dipake?</t>
  </si>
  <si>
    <t>Roasted Turkey</t>
  </si>
  <si>
    <t>Cheesy Nachos</t>
  </si>
  <si>
    <t>452,8</t>
  </si>
  <si>
    <t>Cooked Frozen Peas and Carrots</t>
  </si>
  <si>
    <t>305 g</t>
  </si>
  <si>
    <t>kurangi porsinya dan tambah karbo</t>
  </si>
  <si>
    <t>Thick-Cut Onion Rings</t>
  </si>
  <si>
    <t>50g</t>
  </si>
  <si>
    <t>163,5</t>
  </si>
  <si>
    <t>Ensure Plus Drink</t>
  </si>
  <si>
    <t>215 ml</t>
  </si>
  <si>
    <t>131ml</t>
  </si>
  <si>
    <t>Canned Kidney Beans</t>
  </si>
  <si>
    <t>kurangi porsinya, terutama untuk menu kalengan</t>
  </si>
  <si>
    <t>Peanut Butter Sandwich Cookies</t>
  </si>
  <si>
    <t>79g</t>
  </si>
  <si>
    <t>422,7</t>
  </si>
  <si>
    <t>779,2</t>
  </si>
  <si>
    <t>1070,8</t>
  </si>
  <si>
    <t>815,6</t>
  </si>
  <si>
    <t>256,2</t>
  </si>
  <si>
    <t>≤ 38.2</t>
  </si>
  <si>
    <t>Trans Fat (g)</t>
  </si>
  <si>
    <t>≤ 3.4</t>
  </si>
  <si>
    <t>41,10</t>
  </si>
  <si>
    <t>cukup sesuai, namun terdapat menu yang perlu disesuaikan kembali dengan diet pasien cvd yaitu pembatasan sodium dan lemak jenuh &amp; trans</t>
  </si>
  <si>
    <t>TDEE masih bisa dikurangi</t>
  </si>
  <si>
    <t>% lemak masih perlu dikurangi karena ada pembatasan konsumsi lemak di penyakit cvd</t>
  </si>
  <si>
    <t>terdapat pembatasan sodium dan kolestrol</t>
  </si>
  <si>
    <t>terdapat menu yang perlu penambahan protein</t>
  </si>
  <si>
    <t>cukup bervariasi namun perlu ada yang di koreksi untuk menu yang keduanya di goreng, karena ada pembatasan konsumsi lemak</t>
  </si>
  <si>
    <t>sudah layak dengan beberapa catatan</t>
  </si>
  <si>
    <t>sudah cukup sesuai, namun perlu ada pengurangan porsi di beberapa menu</t>
  </si>
  <si>
    <t>Pada penderita CVD perlu terdapat pembatasan sodium, lemak jenuh &amp; trans. Untuk menu dengan pengolahan di goreng/deep frying perlu dikurangi</t>
  </si>
  <si>
    <t>CASE 5  —  HYPERCHOLESTEROLEMIA</t>
  </si>
  <si>
    <t>99.4 – 130.0</t>
  </si>
  <si>
    <t>Kolesterol</t>
  </si>
  <si>
    <t>≤ 420.5</t>
  </si>
  <si>
    <t>Navy Beans</t>
  </si>
  <si>
    <t>apakah ada campuran/pure navy beans? porsinya bisa dikurangi</t>
  </si>
  <si>
    <t>Whole Wheat Chapati</t>
  </si>
  <si>
    <t>keduanya sama2 karbo, bisa diganti salah satunya dengan protein atau sayur yang cocok</t>
  </si>
  <si>
    <t>Plain Dinner Rolls</t>
  </si>
  <si>
    <t>Plain Greek Yogurt</t>
  </si>
  <si>
    <t>apakah ada campuran buah? porsinya bisa dikurangi</t>
  </si>
  <si>
    <t>118ml</t>
  </si>
  <si>
    <t>119,2</t>
  </si>
  <si>
    <t>Oats</t>
  </si>
  <si>
    <t>152g</t>
  </si>
  <si>
    <t>591,3</t>
  </si>
  <si>
    <t>perpaduan kedua menu kurang sesuai</t>
  </si>
  <si>
    <t>Prepared Edamame</t>
  </si>
  <si>
    <t>106g</t>
  </si>
  <si>
    <t>buahnya pake apa aja?</t>
  </si>
  <si>
    <t>462,9</t>
  </si>
  <si>
    <t>64g</t>
  </si>
  <si>
    <t>202,2</t>
  </si>
  <si>
    <t>Unsweetened Frozen Apple Juice</t>
  </si>
  <si>
    <t>jus kemasan?</t>
  </si>
  <si>
    <t>porsi bisa dikurangi</t>
  </si>
  <si>
    <t>Oriental Rice Snack Mix</t>
  </si>
  <si>
    <t>404,8</t>
  </si>
  <si>
    <t>931,2</t>
  </si>
  <si>
    <t>766,3</t>
  </si>
  <si>
    <t>789,3</t>
  </si>
  <si>
    <t>420,1</t>
  </si>
  <si>
    <t>≤ 200.0</t>
  </si>
  <si>
    <t>≤ 23.8</t>
  </si>
  <si>
    <t>cukup sesuai, namun terdapat menu yang perlu disesuaikan kembali dengan diet pasien yaitu pembatasan lemak &amp; kolestrol</t>
  </si>
  <si>
    <t>% karbo bisa dikurangi</t>
  </si>
  <si>
    <t>sudah sesuai terdapat pembatasan lemak &amp; kolestrol</t>
  </si>
  <si>
    <t>terdapat kombinasi makanan dalam 1x makan yang kurang sesuai</t>
  </si>
  <si>
    <t>3. terdapat menu yang kurang bervariasi dan menunya hampir sama dalam 1x makan, perlu lebih bervariasi lagi</t>
  </si>
  <si>
    <t>layak dengan catatan</t>
  </si>
  <si>
    <t>beberapa menu porsinya terlalu banyak, perlu ada pengurangan porsi</t>
  </si>
  <si>
    <t>Pada penderita hypercholesterolemia perlu terdapat pembatasan sodium, lemak jenuh &amp; trans.</t>
  </si>
  <si>
    <t>Pastikan menggunakan gizi seimbang yang terdiri atas: karbohidrat, protein hewani/nabati, sayur/buah dalam 1x makan</t>
  </si>
  <si>
    <t>CASE 6  —  CHRONIC KIDNEY DISEASE STAGE 1</t>
  </si>
  <si>
    <t>2261.0 – 2499.0</t>
  </si>
  <si>
    <t>40.8 – 54.4</t>
  </si>
  <si>
    <t>69.4 – 97.2</t>
  </si>
  <si>
    <t>CKD</t>
  </si>
  <si>
    <t>341.3 – 377.2</t>
  </si>
  <si>
    <t>Beef and Cheese Taquitos</t>
  </si>
  <si>
    <t>Plain Naan Bread</t>
  </si>
  <si>
    <t>101g</t>
  </si>
  <si>
    <t>293,9</t>
  </si>
  <si>
    <t>Cooked Cardoon</t>
  </si>
  <si>
    <t>cardoon itu apa?</t>
  </si>
  <si>
    <t>100g</t>
  </si>
  <si>
    <t>218,0</t>
  </si>
  <si>
    <t>lebih baik diganti dengan protein hewani</t>
  </si>
  <si>
    <t>Unsweetened Apple Juice</t>
  </si>
  <si>
    <t>Unsweetened Grape Juice</t>
  </si>
  <si>
    <t>60,0</t>
  </si>
  <si>
    <t>Fresh Spinach Pasta</t>
  </si>
  <si>
    <t>118g</t>
  </si>
  <si>
    <t>404,7</t>
  </si>
  <si>
    <t>perpaduan keduanya kurang sesuai, bisa diganti sayur/protein</t>
  </si>
  <si>
    <t>Irish Soda Bread</t>
  </si>
  <si>
    <t>226,2</t>
  </si>
  <si>
    <t>Coconut Milk</t>
  </si>
  <si>
    <t>117ml</t>
  </si>
  <si>
    <t>118,2</t>
  </si>
  <si>
    <t>Homemade Pasta</t>
  </si>
  <si>
    <t>Microwaved Buttermilk Waffle</t>
  </si>
  <si>
    <t>294,8</t>
  </si>
  <si>
    <t>lebih cocok jadi breakfast/snack</t>
  </si>
  <si>
    <t>Hash Brown Potatoes</t>
  </si>
  <si>
    <t>doubel karbo</t>
  </si>
  <si>
    <t>Peanut Sauce</t>
  </si>
  <si>
    <t>128,5</t>
  </si>
  <si>
    <t>Unsweetened Almond Milk</t>
  </si>
  <si>
    <t>kurangi porsinya, penderita ckd perlu pembatasan cairan</t>
  </si>
  <si>
    <t>101ml</t>
  </si>
  <si>
    <t>Peeled Chestnuts</t>
  </si>
  <si>
    <t>kurangi porsinya,  penderita ckd perlu pembatasan protein nabati</t>
  </si>
  <si>
    <t>Pecan Pie</t>
  </si>
  <si>
    <t>329,6</t>
  </si>
  <si>
    <t>443,1</t>
  </si>
  <si>
    <t>945,9</t>
  </si>
  <si>
    <t>574,1</t>
  </si>
  <si>
    <t>343,0</t>
  </si>
  <si>
    <t>≤ 2000.0</t>
  </si>
  <si>
    <t>≤ 31.2</t>
  </si>
  <si>
    <t>≤ 27.8</t>
  </si>
  <si>
    <t>800.0 – 1000.0</t>
  </si>
  <si>
    <t>cukup sesuai, namun terdapat menu yang perlu disesuaikan kembali dengan diet pasien yaitu pembatasan protein &amp; cairan</t>
  </si>
  <si>
    <t>bisa ditingkatkan lagi TDEE ke 2600</t>
  </si>
  <si>
    <t xml:space="preserve">perlu cek perhitungan </t>
  </si>
  <si>
    <t>cukup sesuai, namun belum ada pembatasan air/cairan</t>
  </si>
  <si>
    <t>perlu beberapa perbaikan</t>
  </si>
  <si>
    <t>3. terdapat menu yang belum variatif</t>
  </si>
  <si>
    <t>terdapat beberapa menu yang perlu disesuaikan kembali porsinya karena terlalu banyak</t>
  </si>
  <si>
    <t>Pada penderita CKD perlu terdapat pembatasan protein dan cairan</t>
  </si>
  <si>
    <t>CASE 7  —  DIABETES + HYPERTENSION</t>
  </si>
  <si>
    <t>[DM]  [HT]     Dual : Gabungan guideline (DM) + (HT).</t>
  </si>
  <si>
    <t>1103,5</t>
  </si>
  <si>
    <t>Wanita</t>
  </si>
  <si>
    <t>1992,6</t>
  </si>
  <si>
    <t>1992.6 – 2202.4</t>
  </si>
  <si>
    <t>71.0 – 78.5</t>
  </si>
  <si>
    <t>Rendah</t>
  </si>
  <si>
    <t>≤ 60.4</t>
  </si>
  <si>
    <t>DM2 + Hipertensi</t>
  </si>
  <si>
    <t>248.5 – 274.6</t>
  </si>
  <si>
    <t>≥ 2700.0</t>
  </si>
  <si>
    <t>Canned Great Northern Beans</t>
  </si>
  <si>
    <t>kurangi porsinya</t>
  </si>
  <si>
    <t>Fried Chicken Breast</t>
  </si>
  <si>
    <t>165g</t>
  </si>
  <si>
    <t>308,6</t>
  </si>
  <si>
    <t>118,7</t>
  </si>
  <si>
    <t>Chilled Orange Juice</t>
  </si>
  <si>
    <t>sebaiknya diganti karena tinggi gula</t>
  </si>
  <si>
    <t>sebaiknya diganti menu lain karena menu ini tinggi sodium (garam)</t>
  </si>
  <si>
    <t>Whole Grain English Muffins</t>
  </si>
  <si>
    <t>323,4</t>
  </si>
  <si>
    <t>Succotash</t>
  </si>
  <si>
    <t>Shoestring French Fries</t>
  </si>
  <si>
    <t>197,2</t>
  </si>
  <si>
    <t>sebaiknya diganti protein/sayur</t>
  </si>
  <si>
    <t>Reduced Fat Milk</t>
  </si>
  <si>
    <t>126ml</t>
  </si>
  <si>
    <t>127,3</t>
  </si>
  <si>
    <t>Roasted Chicken</t>
  </si>
  <si>
    <t>Tuna Sub</t>
  </si>
  <si>
    <t>223,2</t>
  </si>
  <si>
    <t>pakai sayuran kah?</t>
  </si>
  <si>
    <t>98g</t>
  </si>
  <si>
    <t>173,5</t>
  </si>
  <si>
    <t>Mixed-Grain English Muffins</t>
  </si>
  <si>
    <t>Soft Pretzels</t>
  </si>
  <si>
    <t>270,4</t>
  </si>
  <si>
    <t>621,7</t>
  </si>
  <si>
    <t>512,4</t>
  </si>
  <si>
    <t>275,0</t>
  </si>
  <si>
    <t>≤ 24.9</t>
  </si>
  <si>
    <t>30.0 – 35.0</t>
  </si>
  <si>
    <t>3400.0 – 4465.0</t>
  </si>
  <si>
    <t>≤ 13.3</t>
  </si>
  <si>
    <t>14.0 – 35.0</t>
  </si>
  <si>
    <t>0.1 – 1.0</t>
  </si>
  <si>
    <t>1.8 – 11.0</t>
  </si>
  <si>
    <t>cukup sesuai namun masih ada menu yang perlu disesuaikan kembali, terutama pembatasan gula dan sodium/garam</t>
  </si>
  <si>
    <t>cukup sesuai namun masih ada menu yang perlu disesuaikan kembali</t>
  </si>
  <si>
    <t>cek rumus</t>
  </si>
  <si>
    <t>terdapat kombinasi menu yang kurang sesuai dan perlu diganti</t>
  </si>
  <si>
    <t xml:space="preserve">3. sudah cukup variatif </t>
  </si>
  <si>
    <t>3. masih kurang bervariasi terutama di drink</t>
  </si>
  <si>
    <t>masih terdapat porsi makan yang terlalu banyak dan perlu dikurangi</t>
  </si>
  <si>
    <t>porsi sudah sesuai</t>
  </si>
  <si>
    <t xml:space="preserve">Pada penderita DM dan hipertensi perlu terdapat pembatasan gula dan sodium (garam) serta dianjurkan pemberian makanan tinggi serat </t>
  </si>
  <si>
    <t>CASE 8  —  DIABETES + HYPERCHOLESTEROLEMIA</t>
  </si>
  <si>
    <t>[DM]  [HK]     Dual : Gabungan guideline (DM) + (HK).</t>
  </si>
  <si>
    <t>1705,3</t>
  </si>
  <si>
    <t>1705.5 – 1885.1</t>
  </si>
  <si>
    <t>55.4 – 64.0</t>
  </si>
  <si>
    <t>≤ 56.8</t>
  </si>
  <si>
    <t>DM2 + Kolesterol</t>
  </si>
  <si>
    <t>212.6 – 235.0</t>
  </si>
  <si>
    <t>Arroz con Habichuelas</t>
  </si>
  <si>
    <t>151g</t>
  </si>
  <si>
    <t>214,4</t>
  </si>
  <si>
    <t>Raw Sprouted Pinto Beans</t>
  </si>
  <si>
    <t>kecambah/tauge?</t>
  </si>
  <si>
    <t>110g</t>
  </si>
  <si>
    <t>123,2</t>
  </si>
  <si>
    <t>Kombinasinya kurang cocok</t>
  </si>
  <si>
    <t>2% Reduced Fat Milk</t>
  </si>
  <si>
    <t>bisa diganti, tinggi gula</t>
  </si>
  <si>
    <t>277,1</t>
  </si>
  <si>
    <t>kurang cocok dijadikan lunch, lebih cocok jadi breakfast</t>
  </si>
  <si>
    <t>Cooked Peas and Carrots</t>
  </si>
  <si>
    <t>94g</t>
  </si>
  <si>
    <t>166,4</t>
  </si>
  <si>
    <t>Goat Milk with Vitamin D</t>
  </si>
  <si>
    <t>126g</t>
  </si>
  <si>
    <t>238,1</t>
  </si>
  <si>
    <t>diusahakan jangan makanan olahan</t>
  </si>
  <si>
    <t>sebaiknya diganti protein hewani/sayur</t>
  </si>
  <si>
    <t>Raw Eppaw</t>
  </si>
  <si>
    <t>130,5</t>
  </si>
  <si>
    <t>ini apa?</t>
  </si>
  <si>
    <t>Muscle Milk</t>
  </si>
  <si>
    <t>Boiled Breadfruit Seeds</t>
  </si>
  <si>
    <t>Blueberry Muffins</t>
  </si>
  <si>
    <t>393,8</t>
  </si>
  <si>
    <t>457,4</t>
  </si>
  <si>
    <t>621,9</t>
  </si>
  <si>
    <t>235,2</t>
  </si>
  <si>
    <t>≤ 21.3</t>
  </si>
  <si>
    <t>aktualnya terlalu besar</t>
  </si>
  <si>
    <t>≤ 1.9</t>
  </si>
  <si>
    <t>cukup sesuai namun masih perlu menu yang disesuaikan, terutama menu dengan proses pengolahan di goreng karena tinggi lemak dan pembatasan minuman tinggi gula</t>
  </si>
  <si>
    <t>TDEE bisa ditambah ke 2000</t>
  </si>
  <si>
    <t>terdapat catatan pada kolestrol yang terlalu tinggi</t>
  </si>
  <si>
    <t>terdapat % karbo dan % gula yang cukup tinggi, bisa dikurangi</t>
  </si>
  <si>
    <t>Terdapat menu yang doubel karbohidrat, salah satunya bisa diganti protein hewani/sayur</t>
  </si>
  <si>
    <t>terdapat menu yang perlu diperbaiki karena masih ada ketidaksesuaian menu</t>
  </si>
  <si>
    <t>3. menu sudah cukup bervariasi namun drink berbagai susu, bisa dibuat lebih variatif lagi</t>
  </si>
  <si>
    <t>3. cukup sesuai, namun drink yang sama dalam setiap waktu makan. bisa dibuat lebih bervariasi</t>
  </si>
  <si>
    <t>Pada penderita DM dan hypercholestrerolemia perlu terdapat pembatasan gula dan lemak jenuh &amp; trans</t>
  </si>
  <si>
    <t>CASE 9  —  HYPERTENSION + CARDIOVASCULAR DISEASE</t>
  </si>
  <si>
    <t>[HT]  [CVD]     Dual : Gabungan guideline (HT) + (CVD)</t>
  </si>
  <si>
    <t>74.8 – 89.8</t>
  </si>
  <si>
    <t>54.8 – 60.5</t>
  </si>
  <si>
    <t>Hipertensi +CVD</t>
  </si>
  <si>
    <t>189.5 – 274.3</t>
  </si>
  <si>
    <t>dengan sayur?</t>
  </si>
  <si>
    <t>112g</t>
  </si>
  <si>
    <t>274,4</t>
  </si>
  <si>
    <t>kalau diganti kentang rebus gimana?</t>
  </si>
  <si>
    <t>124,3</t>
  </si>
  <si>
    <t>128g</t>
  </si>
  <si>
    <t>372,5</t>
  </si>
  <si>
    <t>kurang cocok jadi lunch, lebih cocok jadi dinner</t>
  </si>
  <si>
    <t>Meat Extender</t>
  </si>
  <si>
    <t>127g</t>
  </si>
  <si>
    <t>224,8</t>
  </si>
  <si>
    <t>Low-Fat Chocolate Milk</t>
  </si>
  <si>
    <t>Frozen Chicken and Cheese Taquitos</t>
  </si>
  <si>
    <t>kurangi makanan di goreng</t>
  </si>
  <si>
    <t>333,7</t>
  </si>
  <si>
    <t>Cooked Green Soybeans</t>
  </si>
  <si>
    <t>148g</t>
  </si>
  <si>
    <t>208,7</t>
  </si>
  <si>
    <t>Light Cranberry Grape Juice</t>
  </si>
  <si>
    <t>kurang cocok jadi drink</t>
  </si>
  <si>
    <t>kurangi porsinya/ganti menunya</t>
  </si>
  <si>
    <t>Corn Muffins</t>
  </si>
  <si>
    <t>273,3</t>
  </si>
  <si>
    <t>602,7</t>
  </si>
  <si>
    <t>711,8</t>
  </si>
  <si>
    <t>406,8</t>
  </si>
  <si>
    <t>274,9</t>
  </si>
  <si>
    <t>≤ 2.2</t>
  </si>
  <si>
    <t>0.7 – 3.0</t>
  </si>
  <si>
    <t>75.0 – 2000.0</t>
  </si>
  <si>
    <t>1.5 – 100.0</t>
  </si>
  <si>
    <t>8.0 – 40.0</t>
  </si>
  <si>
    <t>cukup sesuai namun masih perlu menu yang disesuaikan</t>
  </si>
  <si>
    <t>cukup sesuai, namun perlu pengurangan makanan yang diolah dengan proses penggorengan</t>
  </si>
  <si>
    <t>cukup sesuai, namun masih terdapat menu yang kurang protein dan sayur</t>
  </si>
  <si>
    <t xml:space="preserve">3. cukup bervariasi </t>
  </si>
  <si>
    <t>3. cukup sesuai namun terdapat menu yang kurang sesuai penempatannya dengan waktu makannya</t>
  </si>
  <si>
    <t>porsi snack masih terlalu banyak, bisa dikurangi</t>
  </si>
  <si>
    <t>Pada penderita hypertension dan CVD perlu terdapat pembatasan sodium/garam dan lemak trans &amp; jenuh</t>
  </si>
  <si>
    <t>CASE 10  —  CKD + HYPERTENSION</t>
  </si>
  <si>
    <t>[CKD]  [HT]     Dual : Gabungan guideline (CKD) + (HT).</t>
  </si>
  <si>
    <t>2205.0 – 2759.8</t>
  </si>
  <si>
    <t>66.4 – 82.7</t>
  </si>
  <si>
    <t>CKD + Hipertensi</t>
  </si>
  <si>
    <t>288.0 – 318.4</t>
  </si>
  <si>
    <t>Glutinous White Rice</t>
  </si>
  <si>
    <t>119g</t>
  </si>
  <si>
    <t>272,5</t>
  </si>
  <si>
    <t>Microwaved Potatoes in Skin</t>
  </si>
  <si>
    <t>132,2</t>
  </si>
  <si>
    <t>Fluid Milk Substitute</t>
  </si>
  <si>
    <t>kurang sayur &amp; kurang cocok jadi menu lunch</t>
  </si>
  <si>
    <t>419,6</t>
  </si>
  <si>
    <t>kurang cocok jadi lunch</t>
  </si>
  <si>
    <t>Garlic Parmesan Breadsticks</t>
  </si>
  <si>
    <t>Ready-to-Serve Hoisin Sauce</t>
  </si>
  <si>
    <t>75g</t>
  </si>
  <si>
    <t>hanya sausnya?</t>
  </si>
  <si>
    <t>Sweetened Coffee Drink</t>
  </si>
  <si>
    <t>sebaiknya jangan kopi</t>
  </si>
  <si>
    <t>125ml</t>
  </si>
  <si>
    <t>126,2</t>
  </si>
  <si>
    <t>Beef and Bean Burrito</t>
  </si>
  <si>
    <t>241,4</t>
  </si>
  <si>
    <t>52g</t>
  </si>
  <si>
    <t>82,2</t>
  </si>
  <si>
    <t>diganti jadi kentang rebus?</t>
  </si>
  <si>
    <t>Pink Grapefruit Juice</t>
  </si>
  <si>
    <t>Raw Breadnut Seeds</t>
  </si>
  <si>
    <t>kurangin porsi (100 gr)</t>
  </si>
  <si>
    <t>Plain Hard Pretzels</t>
  </si>
  <si>
    <t>304,8</t>
  </si>
  <si>
    <t>566,7</t>
  </si>
  <si>
    <t>794,8</t>
  </si>
  <si>
    <t>548,4</t>
  </si>
  <si>
    <t>303,8</t>
  </si>
  <si>
    <t>cukup sesuai, namun perlu dipertimbangkan lagi terkait drink karena penderita CKD perlu ada pembatasan cairan</t>
  </si>
  <si>
    <t>%sodium masih tinggi, bisa dikurangi</t>
  </si>
  <si>
    <t>masih terdapat menu yang doubel karbo dan kurang sayur</t>
  </si>
  <si>
    <t>cukup sesuai, namun sebaiknya dibatasi lagi pengolahan dengan digoreng</t>
  </si>
  <si>
    <t>cukup bervariasi namun perlu diganti drink yang menggunakan kopi karena kurang baik bagi penderita CKD</t>
  </si>
  <si>
    <t>3. cukup bervariasi namun ada ketidaksesuain penempatan makanan dan waktu makannya</t>
  </si>
  <si>
    <t>porsi snack bisa dikurangi</t>
  </si>
  <si>
    <t>Pada penderita hypertension dan CKD perlu terdapat pembatasan sodium/garam, protein dan cairan</t>
  </si>
  <si>
    <t>CASE 11  —  DIABETES + HYPERTENSION + HYPERCHOLESTEROLEMIA</t>
  </si>
  <si>
    <t>[DM]  [HT]  [HK]     Triple: Gabungan guideline (DM) + (HT) + (HK).</t>
  </si>
  <si>
    <t>1649,5</t>
  </si>
  <si>
    <t>3447,4</t>
  </si>
  <si>
    <t>2200.0 – 3275.1</t>
  </si>
  <si>
    <t>122.8 – 135.7</t>
  </si>
  <si>
    <t>Tinggi</t>
  </si>
  <si>
    <t>≤ 104.6</t>
  </si>
  <si>
    <t>DM2 + Hipertensi + Kolesterol</t>
  </si>
  <si>
    <t>429.9 – 475.1</t>
  </si>
  <si>
    <t>Enriched Semolina</t>
  </si>
  <si>
    <t>double karbo, salah satu bisa diganti protein</t>
  </si>
  <si>
    <t>124g</t>
  </si>
  <si>
    <t>355,9</t>
  </si>
  <si>
    <t>White Pita Bread</t>
  </si>
  <si>
    <t>76g</t>
  </si>
  <si>
    <t>Frozen Orange Juice</t>
  </si>
  <si>
    <t>123ml</t>
  </si>
  <si>
    <t>124,2</t>
  </si>
  <si>
    <t>diganti gulanya tinggi</t>
  </si>
  <si>
    <t>Lemon Chicken</t>
  </si>
  <si>
    <t>Pumpkin Granola</t>
  </si>
  <si>
    <t>471,7</t>
  </si>
  <si>
    <t>kurang cocok jadi menu lunch</t>
  </si>
  <si>
    <t>Family Style French Fries</t>
  </si>
  <si>
    <t>Vanilla Greek Yogurt</t>
  </si>
  <si>
    <t>dikurangi porsinya karena perlu pembatasan gula</t>
  </si>
  <si>
    <t>Frozen Coconut Milk</t>
  </si>
  <si>
    <t>Tempeh</t>
  </si>
  <si>
    <t>439,2</t>
  </si>
  <si>
    <t>kombinasinya kurang cocok</t>
  </si>
  <si>
    <t>diganti rebus?</t>
  </si>
  <si>
    <t>Plain Biscuits</t>
  </si>
  <si>
    <t>211,8</t>
  </si>
  <si>
    <t>ganti jangan banyak gorengan &amp; kurangi porsinya</t>
  </si>
  <si>
    <t>Baked Peanut Butter Cookies</t>
  </si>
  <si>
    <t>402,4</t>
  </si>
  <si>
    <t>845,0</t>
  </si>
  <si>
    <t>995,0</t>
  </si>
  <si>
    <t>750,5</t>
  </si>
  <si>
    <t>474,3</t>
  </si>
  <si>
    <t>≤ 43.1</t>
  </si>
  <si>
    <t>≤ 23.0</t>
  </si>
  <si>
    <t>≤ 3.8</t>
  </si>
  <si>
    <t>0.6 – 1.0</t>
  </si>
  <si>
    <t>cukup sesuai, namun untuk menu perlu disesuaikan lagi</t>
  </si>
  <si>
    <t xml:space="preserve">TDEE cukup tinggi, bisa dikurangi </t>
  </si>
  <si>
    <t>saturated fat bisa dikurangi dan serat dinaikan</t>
  </si>
  <si>
    <t>cukup sesuai, namun perlu ada pembatasan menu yang diolah dengan cara digoreng</t>
  </si>
  <si>
    <t>cukup sesuai namun masih ada perpaduan menu yang kurang cocok</t>
  </si>
  <si>
    <t>3. sudah cukup bervariasi, namun masih ada yang doubel karbo</t>
  </si>
  <si>
    <t>3. sudah cukup bervariasi</t>
  </si>
  <si>
    <t>beberapa porsinya terlalu banyak dan perlu dikurangi</t>
  </si>
  <si>
    <t>Pada penderita DM + Hypertension + Hypercholesterolemia perlu terdapat pembatasan gula, sodium/garam &amp; lemak jenuh dan trans</t>
  </si>
  <si>
    <t>CASE 12  —  CKD + DIABETES + HYPERTENSION</t>
  </si>
  <si>
    <t>[CKD]  [DM]  [HT]     Triple: Gabungan guideline (CKD) + (DM) + (HT).</t>
  </si>
  <si>
    <t>2031,4</t>
  </si>
  <si>
    <t>1837.9 – 2031.4</t>
  </si>
  <si>
    <t>40.8 – 76.2</t>
  </si>
  <si>
    <t>≤ 61.6</t>
  </si>
  <si>
    <t>CKD + DM2 + Hipertensi</t>
  </si>
  <si>
    <t>265.3 – 293.3</t>
  </si>
  <si>
    <t>Frozen Bean and Cheese Burrito</t>
  </si>
  <si>
    <t>265,2</t>
  </si>
  <si>
    <t>kombinasinya kurang sesuai</t>
  </si>
  <si>
    <t>Fireweed Greens</t>
  </si>
  <si>
    <t>makanan apa?</t>
  </si>
  <si>
    <t>133,3</t>
  </si>
  <si>
    <t>Unsweetened Chocolate Almond Milk</t>
  </si>
  <si>
    <t>Fried Chicken Skin</t>
  </si>
  <si>
    <t>Plain Chapati</t>
  </si>
  <si>
    <t>107g</t>
  </si>
  <si>
    <t>317,8</t>
  </si>
  <si>
    <t>104g</t>
  </si>
  <si>
    <t>184,1</t>
  </si>
  <si>
    <t>diganti karena tinggi gula</t>
  </si>
  <si>
    <t>106ml</t>
  </si>
  <si>
    <t>107,1</t>
  </si>
  <si>
    <t>Toasted Protein Bread</t>
  </si>
  <si>
    <t>proteinnya berupa apa?</t>
  </si>
  <si>
    <t>Chicken Fillet Sandwich with Pickles</t>
  </si>
  <si>
    <t>Frozen Cooked Succotash</t>
  </si>
  <si>
    <t>63g</t>
  </si>
  <si>
    <t>137,3</t>
  </si>
  <si>
    <t>kurangi gorengan</t>
  </si>
  <si>
    <t>Unsweetened Frozen Apple Juice Concentrate</t>
  </si>
  <si>
    <t>114,1</t>
  </si>
  <si>
    <t>426,0</t>
  </si>
  <si>
    <t>697,9</t>
  </si>
  <si>
    <t>441,4</t>
  </si>
  <si>
    <t>279,9</t>
  </si>
  <si>
    <t>≤ 25.4</t>
  </si>
  <si>
    <t>926.2 – 1023.8</t>
  </si>
  <si>
    <t>≤ 13.5</t>
  </si>
  <si>
    <t>sodium bisa dikurangi dan serat dinaikan</t>
  </si>
  <si>
    <t>cukup sesuai, namun bisa dipertimbangkan terkait penggunaan menu "Fireweed Greens"</t>
  </si>
  <si>
    <t>3. cukup bervariasi</t>
  </si>
  <si>
    <t>Pada penderita CKD + DM + hypertension perlu terdapat pembatasan gula, sodium/garam &amp; lemak jenuh dan trans, protein dan cairan. pertimbangkan dalam pemberian minuman manis</t>
  </si>
  <si>
    <t>CASE 13  —  HYPERTENSION + HYPERCHOLESTEROLEMIA + CVD</t>
  </si>
  <si>
    <t xml:space="preserve">[HT]  [HK]  [CVD]     Triple: Gabungan guideline (HT) + (HK) + (CVD). </t>
  </si>
  <si>
    <t>2205.0 – 3275.1</t>
  </si>
  <si>
    <t>129.3 – 146.5</t>
  </si>
  <si>
    <t>94.6 – 104.6</t>
  </si>
  <si>
    <t>Hipertensi + Kolesterol + CVD</t>
  </si>
  <si>
    <t>327.5 – 474.0</t>
  </si>
  <si>
    <t>Dehydrated Mashed Potatoes</t>
  </si>
  <si>
    <t>357,9</t>
  </si>
  <si>
    <t>doubel karbo, salah satunya bisa diganti protein</t>
  </si>
  <si>
    <t>Low-Fat Half and Half</t>
  </si>
  <si>
    <t>bukannya ini minuman?</t>
  </si>
  <si>
    <t>71g</t>
  </si>
  <si>
    <t>Unfortified Chocolate Soymilk</t>
  </si>
  <si>
    <t>Beef Empanadas</t>
  </si>
  <si>
    <t>gorengan ya?</t>
  </si>
  <si>
    <t>Puffed Rice Cereal</t>
  </si>
  <si>
    <t>562,8</t>
  </si>
  <si>
    <t>doubel karbo, salah satunya bisa diganti protein/sayur</t>
  </si>
  <si>
    <t>Frozen Broccoli Spears</t>
  </si>
  <si>
    <t>Enriched White Pita Bread</t>
  </si>
  <si>
    <t>332,8</t>
  </si>
  <si>
    <t>Chocolate Soymilk</t>
  </si>
  <si>
    <t>111ml</t>
  </si>
  <si>
    <t>224,2</t>
  </si>
  <si>
    <t>Vegetarian Fillets</t>
  </si>
  <si>
    <t>125g</t>
  </si>
  <si>
    <t>White Cornmeal</t>
  </si>
  <si>
    <t>Light French Dressing</t>
  </si>
  <si>
    <t>258,6</t>
  </si>
  <si>
    <t>Sweetened Coconut Milk</t>
  </si>
  <si>
    <t>124ml</t>
  </si>
  <si>
    <t>125,2</t>
  </si>
  <si>
    <t>Raw Chestnuts</t>
  </si>
  <si>
    <t>Baked Taco Shells</t>
  </si>
  <si>
    <t>374,4</t>
  </si>
  <si>
    <t>863,4</t>
  </si>
  <si>
    <t>870,2</t>
  </si>
  <si>
    <t>1028,7</t>
  </si>
  <si>
    <t>345,0</t>
  </si>
  <si>
    <t>TDEE masih terlalu tinggi, bisa dikurangi ke 2000 lebih</t>
  </si>
  <si>
    <t xml:space="preserve">% protein dan lemak bisa dinaikan lagi, min 80% </t>
  </si>
  <si>
    <t>kurangi saturated fat</t>
  </si>
  <si>
    <t>cukup sesuai namun ada terdapat menu yang doubel karbo dan bisa diganti dengan protein/sayur</t>
  </si>
  <si>
    <t>3. menu cukup bervariasi</t>
  </si>
  <si>
    <t>cukup sesuai, namun perlu ada pengurangan porsi</t>
  </si>
  <si>
    <t>Pada penderita hypertension + hypercholestrolemia + CVD perlu terdapat pembatasan  sodium/garam &amp; lemak jenuh dan trans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</si>
</sst>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0.000"/>
  </numFmts>
  <fonts count="75">
    <font>
      <sz val="11.0"/>
      <color theme="1"/>
      <name val="Calibri"/>
      <scheme val="minor"/>
    </font>
    <font>
      <sz val="11.0"/>
      <color theme="1"/>
      <name val="Calibri"/>
    </font>
    <font>
      <b/>
      <sz val="22.0"/>
      <color rgb="FFFFFFFF"/>
      <name val="Calibri"/>
    </font>
    <font/>
    <font>
      <i/>
      <sz val="11.0"/>
      <color rgb="FFFFFFFF"/>
      <name val="Calibri"/>
    </font>
    <font>
      <b/>
      <sz val="12.0"/>
      <color rgb="FFFFFFFF"/>
      <name val="Calibri"/>
    </font>
    <font>
      <b/>
      <sz val="11.0"/>
      <color rgb="FF1B3A6B"/>
      <name val="Calibri"/>
    </font>
    <font>
      <sz val="11.0"/>
      <color rgb="FF000000"/>
      <name val="Calibri"/>
    </font>
    <font>
      <b/>
      <sz val="10.0"/>
      <color rgb="FFFFFFFF"/>
      <name val="Calibri"/>
    </font>
    <font>
      <b/>
      <sz val="10.0"/>
      <color rgb="FF1B3A6B"/>
      <name val="Calibri"/>
    </font>
    <font>
      <sz val="10.0"/>
      <color rgb="FF000000"/>
      <name val="Calibri"/>
    </font>
    <font>
      <i/>
      <sz val="11.0"/>
      <color rgb="FF2D5494"/>
      <name val="Calibri"/>
    </font>
    <font>
      <b/>
      <sz val="20.0"/>
      <color rgb="FFFFFFFF"/>
      <name val="Calibri"/>
    </font>
    <font>
      <i/>
      <sz val="11.0"/>
      <color rgb="FFD6E4F7"/>
      <name val="Calibri"/>
    </font>
    <font>
      <sz val="9.0"/>
      <color rgb="FFD6E4F7"/>
      <name val="Calibri"/>
    </font>
    <font>
      <b/>
      <sz val="11.0"/>
      <color rgb="FFFFFFFF"/>
      <name val="Calibri"/>
    </font>
    <font>
      <b/>
      <sz val="11.0"/>
      <color rgb="FFC0392B"/>
      <name val="Calibri"/>
    </font>
    <font>
      <b/>
      <sz val="11.0"/>
      <color rgb="FFE67E22"/>
      <name val="Calibri"/>
    </font>
    <font>
      <b/>
      <sz val="11.0"/>
      <color rgb="FFD4AC0D"/>
      <name val="Calibri"/>
    </font>
    <font>
      <b/>
      <sz val="11.0"/>
      <color rgb="FF1E8449"/>
      <name val="Calibri"/>
    </font>
    <font>
      <b/>
      <sz val="11.0"/>
      <color rgb="FF1A5276"/>
      <name val="Calibri"/>
    </font>
    <font>
      <i/>
      <u/>
      <sz val="11.0"/>
      <color rgb="FF1A5276"/>
      <name val="Calibri"/>
    </font>
    <font>
      <u/>
      <color rgb="FF0000FF"/>
    </font>
    <font>
      <i/>
      <sz val="11.0"/>
      <color rgb="FF1A5276"/>
      <name val="Calibri"/>
    </font>
    <font>
      <u/>
      <color rgb="FF0000FF"/>
    </font>
    <font>
      <i/>
      <u/>
      <sz val="11.0"/>
      <color rgb="FF1A5276"/>
      <name val="Calibri"/>
    </font>
    <font>
      <b/>
      <sz val="16.0"/>
      <color rgb="FFFFFFFF"/>
      <name val="Calibri"/>
    </font>
    <font>
      <i/>
      <sz val="8.0"/>
      <color rgb="FFFFFFFF"/>
      <name val="Calibri"/>
    </font>
    <font>
      <i/>
      <sz val="9.0"/>
      <color rgb="FFFFFFFF"/>
      <name val="Calibri"/>
    </font>
    <font>
      <sz val="10.0"/>
      <color rgb="FF1B3A6B"/>
      <name val="Calibri"/>
    </font>
    <font>
      <sz val="9.0"/>
      <color rgb="FF1B3A6B"/>
      <name val="Calibri"/>
    </font>
    <font>
      <b/>
      <sz val="9.0"/>
      <color theme="1"/>
      <name val="Calibri"/>
    </font>
    <font>
      <b/>
      <sz val="10.0"/>
      <color rgb="FFC0392B"/>
      <name val="Calibri"/>
    </font>
    <font>
      <sz val="10.0"/>
      <color rgb="FFC0392B"/>
      <name val="Calibri"/>
    </font>
    <font>
      <b/>
      <sz val="10.0"/>
      <color rgb="FFE67E22"/>
      <name val="Calibri"/>
    </font>
    <font>
      <sz val="10.0"/>
      <color rgb="FFE67E22"/>
      <name val="Calibri"/>
    </font>
    <font>
      <b/>
      <sz val="10.0"/>
      <color rgb="FFD4AC0D"/>
      <name val="Calibri"/>
    </font>
    <font>
      <sz val="10.0"/>
      <color rgb="FFD4AC0D"/>
      <name val="Calibri"/>
    </font>
    <font>
      <b/>
      <sz val="10.0"/>
      <color rgb="FF1E8449"/>
      <name val="Calibri"/>
    </font>
    <font>
      <sz val="10.0"/>
      <color rgb="FF1E8449"/>
      <name val="Calibri"/>
    </font>
    <font>
      <b/>
      <sz val="10.0"/>
      <color rgb="FF1A5276"/>
      <name val="Calibri"/>
    </font>
    <font>
      <sz val="10.0"/>
      <color rgb="FF1A5276"/>
      <name val="Calibri"/>
    </font>
    <font>
      <b/>
      <sz val="18.0"/>
      <color rgb="FFFFFFFF"/>
      <name val="Arial"/>
    </font>
    <font>
      <b/>
      <sz val="15.0"/>
      <color rgb="FFFFFFFF"/>
      <name val="Calibri"/>
    </font>
    <font>
      <sz val="10.0"/>
      <color theme="1"/>
      <name val="Calibri"/>
    </font>
    <font>
      <sz val="15.0"/>
      <color theme="1"/>
      <name val="Calibri"/>
    </font>
    <font>
      <b/>
      <sz val="15.0"/>
      <color rgb="FFFFFFFF"/>
      <name val="Arial"/>
    </font>
    <font>
      <sz val="15.0"/>
      <color theme="1"/>
      <name val="Calibri"/>
      <scheme val="minor"/>
    </font>
    <font>
      <sz val="13.0"/>
      <color theme="1"/>
      <name val="Calibri"/>
    </font>
    <font>
      <b/>
      <sz val="13.0"/>
      <color rgb="FFFFFFFF"/>
      <name val="Arial"/>
    </font>
    <font>
      <sz val="13.0"/>
      <color theme="1"/>
      <name val="Calibri"/>
      <scheme val="minor"/>
    </font>
    <font>
      <b/>
      <color rgb="FFFFFFFF"/>
      <name val="Calibri"/>
    </font>
    <font>
      <i/>
      <sz val="9.0"/>
      <color rgb="FFFFFFFF"/>
      <name val="Arial"/>
    </font>
    <font>
      <b/>
      <sz val="10.0"/>
      <color rgb="FFFFFFFF"/>
      <name val="Arial"/>
    </font>
    <font>
      <color rgb="FF000000"/>
      <name val="Calibri"/>
    </font>
    <font>
      <color rgb="FF1B3A6B"/>
      <name val="Calibri"/>
    </font>
    <font>
      <color theme="1"/>
      <name val="Calibri"/>
    </font>
    <font>
      <color theme="1"/>
      <name val="Calibri"/>
      <scheme val="minor"/>
    </font>
    <font>
      <sz val="10.0"/>
      <color rgb="FF1A6B6B"/>
      <name val="Arial"/>
    </font>
    <font>
      <b/>
      <sz val="11.0"/>
      <color rgb="FFFFFFFF"/>
      <name val="Arial"/>
    </font>
    <font>
      <b/>
      <color rgb="FF1B3A6B"/>
      <name val="Calibri"/>
    </font>
    <font>
      <i/>
      <color theme="1"/>
      <name val="Calibri"/>
    </font>
    <font>
      <b/>
      <sz val="10.0"/>
      <color rgb="FF1B3A6B"/>
      <name val="Arial"/>
    </font>
    <font>
      <b/>
      <sz val="10.0"/>
      <color rgb="FF1B5E20"/>
      <name val="Arial"/>
    </font>
    <font>
      <sz val="9.0"/>
      <color rgb="FF5D6D7E"/>
      <name val="Arial"/>
    </font>
    <font>
      <sz val="18.0"/>
      <color theme="1"/>
      <name val="Calibri"/>
    </font>
    <font>
      <b/>
      <sz val="18.0"/>
      <color rgb="FFFFFFFF"/>
      <name val="Calibri"/>
    </font>
    <font>
      <sz val="18.0"/>
      <color theme="1"/>
      <name val="Calibri"/>
      <scheme val="minor"/>
    </font>
    <font>
      <sz val="11.0"/>
      <color rgb="FF5D6D7E"/>
      <name val="Calibri"/>
    </font>
    <font>
      <sz val="12.0"/>
      <color rgb="FF000000"/>
      <name val="Calibri"/>
    </font>
    <font>
      <sz val="14.0"/>
      <color theme="1"/>
      <name val="Calibri"/>
    </font>
    <font>
      <b/>
      <sz val="14.0"/>
      <color rgb="FFFFFFFF"/>
      <name val="Calibri"/>
    </font>
    <font>
      <sz val="14.0"/>
      <color theme="1"/>
      <name val="Calibri"/>
      <scheme val="minor"/>
    </font>
    <font>
      <b/>
      <sz val="14.0"/>
      <color rgb="FFFFFFFF"/>
      <name val="Arial"/>
    </font>
    <font>
      <sz val="10.0"/>
      <color theme="1"/>
      <name val="Calibri"/>
      <scheme val="minor"/>
    </font>
  </fonts>
  <fills count="42">
    <fill>
      <patternFill patternType="none"/>
    </fill>
    <fill>
      <patternFill patternType="lightGray"/>
    </fill>
    <fill>
      <patternFill patternType="solid">
        <fgColor rgb="FF1B3A6B"/>
        <bgColor rgb="FF1B3A6B"/>
      </patternFill>
    </fill>
    <fill>
      <patternFill patternType="solid">
        <fgColor rgb="FF2D5494"/>
        <bgColor rgb="FF2D5494"/>
      </patternFill>
    </fill>
    <fill>
      <patternFill patternType="solid">
        <fgColor rgb="FFE8F0FC"/>
        <bgColor rgb="FFE8F0FC"/>
      </patternFill>
    </fill>
    <fill>
      <patternFill patternType="solid">
        <fgColor rgb="FFFFFFFF"/>
        <bgColor rgb="FFFFFFFF"/>
      </patternFill>
    </fill>
    <fill>
      <patternFill patternType="solid">
        <fgColor rgb="FFFEF9E7"/>
        <bgColor rgb="FFFEF9E7"/>
      </patternFill>
    </fill>
    <fill>
      <patternFill patternType="solid">
        <fgColor rgb="FFFFFDE7"/>
        <bgColor rgb="FFFFFDE7"/>
      </patternFill>
    </fill>
    <fill>
      <patternFill patternType="solid">
        <fgColor rgb="FFF8F9FA"/>
        <bgColor rgb="FFF8F9FA"/>
      </patternFill>
    </fill>
    <fill>
      <patternFill patternType="solid">
        <fgColor rgb="FFEBF5FB"/>
        <bgColor rgb="FFEBF5FB"/>
      </patternFill>
    </fill>
    <fill>
      <patternFill patternType="solid">
        <fgColor rgb="FFD6EAF8"/>
        <bgColor rgb="FFD6EAF8"/>
      </patternFill>
    </fill>
    <fill>
      <patternFill patternType="solid">
        <fgColor rgb="FFEAFAF1"/>
        <bgColor rgb="FFEAFAF1"/>
      </patternFill>
    </fill>
    <fill>
      <patternFill patternType="solid">
        <fgColor rgb="FFD5F5E3"/>
        <bgColor rgb="FFD5F5E3"/>
      </patternFill>
    </fill>
    <fill>
      <patternFill patternType="solid">
        <fgColor rgb="FFFDEBD0"/>
        <bgColor rgb="FFFDEBD0"/>
      </patternFill>
    </fill>
    <fill>
      <patternFill patternType="solid">
        <fgColor rgb="FFFDF2F8"/>
        <bgColor rgb="FFFDF2F8"/>
      </patternFill>
    </fill>
    <fill>
      <patternFill patternType="solid">
        <fgColor rgb="FFFADBD8"/>
        <bgColor rgb="FFFADBD8"/>
      </patternFill>
    </fill>
    <fill>
      <patternFill patternType="solid">
        <fgColor rgb="FFD6E4F7"/>
        <bgColor rgb="FFD6E4F7"/>
      </patternFill>
    </fill>
    <fill>
      <patternFill patternType="solid">
        <fgColor rgb="FFFDECEA"/>
        <bgColor rgb="FFFDECEA"/>
      </patternFill>
    </fill>
    <fill>
      <patternFill patternType="solid">
        <fgColor rgb="FFFEF5E7"/>
        <bgColor rgb="FFFEF5E7"/>
      </patternFill>
    </fill>
    <fill>
      <patternFill patternType="solid">
        <fgColor rgb="FF274E13"/>
        <bgColor rgb="FF274E13"/>
      </patternFill>
    </fill>
    <fill>
      <patternFill patternType="solid">
        <fgColor rgb="FF2E7D32"/>
        <bgColor rgb="FF2E7D32"/>
      </patternFill>
    </fill>
    <fill>
      <patternFill patternType="solid">
        <fgColor rgb="FFE8F4FD"/>
        <bgColor rgb="FFE8F4FD"/>
      </patternFill>
    </fill>
    <fill>
      <patternFill patternType="solid">
        <fgColor rgb="FFF0FCF0"/>
        <bgColor rgb="FFF0FCF0"/>
      </patternFill>
    </fill>
    <fill>
      <patternFill patternType="solid">
        <fgColor rgb="FFF0F5FC"/>
        <bgColor rgb="FFF0F5FC"/>
      </patternFill>
    </fill>
    <fill>
      <patternFill patternType="solid">
        <fgColor rgb="FFDCEDC8"/>
        <bgColor rgb="FFDCEDC8"/>
      </patternFill>
    </fill>
    <fill>
      <patternFill patternType="solid">
        <fgColor rgb="FF1A6B6B"/>
        <bgColor rgb="FF1A6B6B"/>
      </patternFill>
    </fill>
    <fill>
      <patternFill patternType="solid">
        <fgColor rgb="FF0F4C81"/>
        <bgColor rgb="FF0F4C81"/>
      </patternFill>
    </fill>
    <fill>
      <patternFill patternType="solid">
        <fgColor rgb="FF455A64"/>
        <bgColor rgb="FF455A64"/>
      </patternFill>
    </fill>
    <fill>
      <patternFill patternType="solid">
        <fgColor rgb="FF1B5E20"/>
        <bgColor rgb="FF1B5E20"/>
      </patternFill>
    </fill>
    <fill>
      <patternFill patternType="solid">
        <fgColor rgb="FF1565C0"/>
        <bgColor rgb="FF1565C0"/>
      </patternFill>
    </fill>
    <fill>
      <patternFill patternType="solid">
        <fgColor rgb="FFD5D8DC"/>
        <bgColor rgb="FFD5D8DC"/>
      </patternFill>
    </fill>
    <fill>
      <patternFill patternType="solid">
        <fgColor rgb="FFFCF3CF"/>
        <bgColor rgb="FFFCF3CF"/>
      </patternFill>
    </fill>
    <fill>
      <patternFill patternType="solid">
        <fgColor rgb="FFF9EBEA"/>
        <bgColor rgb="FFF9EBEA"/>
      </patternFill>
    </fill>
    <fill>
      <patternFill patternType="solid">
        <fgColor rgb="FFFCE5CD"/>
        <bgColor rgb="FFFCE5CD"/>
      </patternFill>
    </fill>
    <fill>
      <patternFill patternType="solid">
        <fgColor rgb="FFCFE2F3"/>
        <bgColor rgb="FFCFE2F3"/>
      </patternFill>
    </fill>
    <fill>
      <patternFill patternType="solid">
        <fgColor rgb="FFF4CCCC"/>
        <bgColor rgb="FFF4CCCC"/>
      </patternFill>
    </fill>
    <fill>
      <patternFill patternType="solid">
        <fgColor rgb="FFD6F0F0"/>
        <bgColor rgb="FFD6F0F0"/>
      </patternFill>
    </fill>
    <fill>
      <patternFill patternType="solid">
        <fgColor rgb="FF1E8449"/>
        <bgColor rgb="FF1E8449"/>
      </patternFill>
    </fill>
    <fill>
      <patternFill patternType="solid">
        <fgColor rgb="FF3D85C6"/>
        <bgColor rgb="FF3D85C6"/>
      </patternFill>
    </fill>
    <fill>
      <patternFill patternType="solid">
        <fgColor rgb="FFFEF9C4"/>
        <bgColor rgb="FFFEF9C4"/>
      </patternFill>
    </fill>
    <fill>
      <patternFill patternType="solid">
        <fgColor rgb="FFF3E5F5"/>
        <bgColor rgb="FFF3E5F5"/>
      </patternFill>
    </fill>
    <fill>
      <patternFill patternType="solid">
        <fgColor rgb="FFFF0000"/>
        <bgColor rgb="FFFF0000"/>
      </patternFill>
    </fill>
  </fills>
  <borders count="114">
    <border/>
    <border>
      <left/>
      <top/>
      <bottom/>
    </border>
    <border>
      <right/>
      <top/>
      <bottom/>
    </border>
    <border>
      <left style="thin">
        <color rgb="FF2D5494"/>
      </left>
      <top style="thin">
        <color rgb="FF2D5494"/>
      </top>
      <bottom style="thin">
        <color rgb="FF2D5494"/>
      </bottom>
    </border>
    <border>
      <right style="thin">
        <color rgb="FF2D5494"/>
      </right>
      <top style="thin">
        <color rgb="FF2D5494"/>
      </top>
      <bottom style="thin">
        <color rgb="FF2D5494"/>
      </bottom>
    </border>
    <border>
      <left style="thin">
        <color rgb="FF2D5494"/>
      </left>
      <right style="thin">
        <color rgb="FF2D5494"/>
      </right>
      <top style="thin">
        <color rgb="FF2D5494"/>
      </top>
      <bottom style="thin">
        <color rgb="FF2D5494"/>
      </bottom>
    </border>
    <border>
      <left style="thin">
        <color rgb="FF1B3A6B"/>
      </left>
      <top style="thin">
        <color rgb="FF1B3A6B"/>
      </top>
      <bottom style="thin">
        <color rgb="FF1B3A6B"/>
      </bottom>
    </border>
    <border>
      <right/>
      <top style="thin">
        <color rgb="FF1B3A6B"/>
      </top>
      <bottom style="thin">
        <color rgb="FF1B3A6B"/>
      </bottom>
    </border>
    <border>
      <left style="thin">
        <color rgb="FF1B3A6B"/>
      </left>
      <right style="thin">
        <color rgb="FF1B3A6B"/>
      </right>
      <top style="thin">
        <color rgb="FF1B3A6B"/>
      </top>
      <bottom style="thin">
        <color rgb="FF1B3A6B"/>
      </bottom>
    </border>
    <border>
      <left style="thin">
        <color rgb="FFD5D8DC"/>
      </left>
      <right style="thin">
        <color rgb="FFD5D8DC"/>
      </right>
      <top style="thin">
        <color rgb="FFD5D8DC"/>
      </top>
      <bottom style="thin">
        <color rgb="FFD5D8DC"/>
      </bottom>
    </border>
    <border>
      <right/>
      <top style="thin">
        <color rgb="FF2D5494"/>
      </top>
      <bottom style="thin">
        <color rgb="FF2D5494"/>
      </bottom>
    </border>
    <border>
      <top/>
      <bottom/>
    </border>
    <border>
      <left style="thin">
        <color rgb="FF1C4587"/>
      </left>
      <top style="thin">
        <color rgb="FF1C4587"/>
      </top>
      <bottom style="thin">
        <color rgb="FF1C4587"/>
      </bottom>
    </border>
    <border>
      <top style="thin">
        <color rgb="FF1C4587"/>
      </top>
      <bottom style="thin">
        <color rgb="FF1C4587"/>
      </bottom>
    </border>
    <border>
      <right style="thin">
        <color rgb="FF1C4587"/>
      </right>
      <top style="thin">
        <color rgb="FF1C4587"/>
      </top>
      <bottom style="thin">
        <color rgb="FF1C4587"/>
      </bottom>
    </border>
    <border>
      <left style="thin">
        <color rgb="FF1C4587"/>
      </left>
      <right style="thin">
        <color rgb="FF1C4587"/>
      </right>
      <top style="thin">
        <color rgb="FF1C4587"/>
      </top>
      <bottom style="thin">
        <color rgb="FF1C4587"/>
      </bottom>
    </border>
    <border>
      <left style="thin">
        <color rgb="FF1C4587"/>
      </left>
      <top style="thin">
        <color rgb="FF1C4587"/>
      </top>
      <bottom style="thin">
        <color rgb="FF1B3A6B"/>
      </bottom>
    </border>
    <border>
      <top style="thin">
        <color rgb="FF1C4587"/>
      </top>
      <bottom style="thin">
        <color rgb="FF1B3A6B"/>
      </bottom>
    </border>
    <border>
      <right style="thin">
        <color rgb="FF1C4587"/>
      </right>
      <top style="thin">
        <color rgb="FF1C4587"/>
      </top>
      <bottom style="thin">
        <color rgb="FF1B3A6B"/>
      </bottom>
    </border>
    <border>
      <left style="thin">
        <color rgb="FF1C4587"/>
      </left>
      <right style="thin">
        <color rgb="FFC0392B"/>
      </right>
      <top style="thin">
        <color rgb="FFC0392B"/>
      </top>
      <bottom style="thin">
        <color rgb="FFC0392B"/>
      </bottom>
    </border>
    <border>
      <left style="thin">
        <color rgb="FFC0392B"/>
      </left>
      <top style="thin">
        <color rgb="FFC0392B"/>
      </top>
      <bottom style="thin">
        <color rgb="FFC0392B"/>
      </bottom>
    </border>
    <border>
      <right style="thin">
        <color rgb="FF1C4587"/>
      </right>
      <top style="thin">
        <color rgb="FFC0392B"/>
      </top>
      <bottom style="thin">
        <color rgb="FFC0392B"/>
      </bottom>
    </border>
    <border>
      <left style="thin">
        <color rgb="FF1C4587"/>
      </left>
      <right style="thin">
        <color rgb="FFE67E22"/>
      </right>
      <top style="thin">
        <color rgb="FFE67E22"/>
      </top>
      <bottom style="thin">
        <color rgb="FFE67E22"/>
      </bottom>
    </border>
    <border>
      <left style="thin">
        <color rgb="FFE67E22"/>
      </left>
      <top style="thin">
        <color rgb="FFE67E22"/>
      </top>
      <bottom style="thin">
        <color rgb="FFE67E22"/>
      </bottom>
    </border>
    <border>
      <right style="thin">
        <color rgb="FF1C4587"/>
      </right>
      <top style="thin">
        <color rgb="FFE67E22"/>
      </top>
      <bottom style="thin">
        <color rgb="FFE67E22"/>
      </bottom>
    </border>
    <border>
      <left style="thin">
        <color rgb="FF1C4587"/>
      </left>
      <right style="thin">
        <color rgb="FFD4AC0D"/>
      </right>
      <top style="thin">
        <color rgb="FFD4AC0D"/>
      </top>
      <bottom style="thin">
        <color rgb="FFD4AC0D"/>
      </bottom>
    </border>
    <border>
      <left style="thin">
        <color rgb="FFD4AC0D"/>
      </left>
      <top style="thin">
        <color rgb="FFD4AC0D"/>
      </top>
      <bottom style="thin">
        <color rgb="FFD4AC0D"/>
      </bottom>
    </border>
    <border>
      <right style="thin">
        <color rgb="FF1C4587"/>
      </right>
      <top style="thin">
        <color rgb="FFD4AC0D"/>
      </top>
      <bottom style="thin">
        <color rgb="FFD4AC0D"/>
      </bottom>
    </border>
    <border>
      <left style="thin">
        <color rgb="FF1C4587"/>
      </left>
      <right style="thin">
        <color rgb="FF1E8449"/>
      </right>
      <top style="thin">
        <color rgb="FF1E8449"/>
      </top>
      <bottom style="thin">
        <color rgb="FF1E8449"/>
      </bottom>
    </border>
    <border>
      <left style="thin">
        <color rgb="FF1E8449"/>
      </left>
      <top style="thin">
        <color rgb="FF1E8449"/>
      </top>
      <bottom style="thin">
        <color rgb="FF1E8449"/>
      </bottom>
    </border>
    <border>
      <right style="thin">
        <color rgb="FF1C4587"/>
      </right>
      <top style="thin">
        <color rgb="FF1E8449"/>
      </top>
      <bottom style="thin">
        <color rgb="FF1E8449"/>
      </bottom>
    </border>
    <border>
      <left style="thin">
        <color rgb="FF1C4587"/>
      </left>
      <right style="thin">
        <color rgb="FF1A5276"/>
      </right>
      <top style="thin">
        <color rgb="FF1A5276"/>
      </top>
      <bottom style="thin">
        <color rgb="FF1C4587"/>
      </bottom>
    </border>
    <border>
      <left style="thin">
        <color rgb="FF1A5276"/>
      </left>
      <top style="thin">
        <color rgb="FF1A5276"/>
      </top>
      <bottom style="thin">
        <color rgb="FF1C4587"/>
      </bottom>
    </border>
    <border>
      <right style="thin">
        <color rgb="FF1C4587"/>
      </right>
      <top style="thin">
        <color rgb="FF1A5276"/>
      </top>
      <bottom style="thin">
        <color rgb="FF1C4587"/>
      </bottom>
    </border>
    <border>
      <left style="thin">
        <color rgb="FF1C4587"/>
      </left>
      <right style="thin">
        <color rgb="FF1C4587"/>
      </right>
      <bottom style="thin">
        <color rgb="FF1C4587"/>
      </bottom>
    </border>
    <border>
      <bottom style="thin">
        <color rgb="FF1C4587"/>
      </bottom>
    </border>
    <border>
      <right style="thin">
        <color rgb="FF1C4587"/>
      </right>
      <bottom style="thin">
        <color rgb="FF1C4587"/>
      </bottom>
    </border>
    <border>
      <left style="thin">
        <color rgb="FFF39C12"/>
      </left>
      <right style="thin">
        <color rgb="FFF39C12"/>
      </right>
      <top style="thin">
        <color rgb="FFF39C12"/>
      </top>
      <bottom style="thin">
        <color rgb="FFF39C12"/>
      </bottom>
    </border>
    <border>
      <left style="thin">
        <color rgb="FF1A6B6B"/>
      </left>
      <right style="thin">
        <color rgb="FF1A6B6B"/>
      </right>
      <top style="thin">
        <color rgb="FF1A6B6B"/>
      </top>
      <bottom style="thin">
        <color rgb="FF1A6B6B"/>
      </bottom>
    </border>
    <border>
      <left style="thin">
        <color rgb="FF1C4587"/>
      </left>
      <top style="thin">
        <color rgb="FF1C4587"/>
      </top>
      <bottom/>
    </border>
    <border>
      <top style="thin">
        <color rgb="FF1C4587"/>
      </top>
      <bottom/>
    </border>
    <border>
      <right style="thin">
        <color rgb="FF1C4587"/>
      </right>
      <top style="thin">
        <color rgb="FF1C4587"/>
      </top>
      <bottom/>
    </border>
    <border>
      <left style="thin">
        <color rgb="FF1C4587"/>
      </left>
      <top style="thin">
        <color rgb="FFC0392B"/>
      </top>
      <bottom style="thin">
        <color rgb="FFC0392B"/>
      </bottom>
    </border>
    <border>
      <right/>
      <top style="thin">
        <color rgb="FFC0392B"/>
      </top>
      <bottom style="thin">
        <color rgb="FFC0392B"/>
      </bottom>
    </border>
    <border>
      <top style="thin">
        <color rgb="FFC0392B"/>
      </top>
      <bottom style="thin">
        <color rgb="FFC0392B"/>
      </bottom>
    </border>
    <border>
      <left style="thin">
        <color rgb="FF1C4587"/>
      </left>
      <top style="thin">
        <color rgb="FFE67E22"/>
      </top>
      <bottom style="thin">
        <color rgb="FFE67E22"/>
      </bottom>
    </border>
    <border>
      <right/>
      <top style="thin">
        <color rgb="FFE67E22"/>
      </top>
      <bottom style="thin">
        <color rgb="FFE67E22"/>
      </bottom>
    </border>
    <border>
      <top style="thin">
        <color rgb="FFE67E22"/>
      </top>
      <bottom style="thin">
        <color rgb="FFE67E22"/>
      </bottom>
    </border>
    <border>
      <left style="thin">
        <color rgb="FF1C4587"/>
      </left>
      <top style="thin">
        <color rgb="FFD4AC0D"/>
      </top>
      <bottom style="thin">
        <color rgb="FFD4AC0D"/>
      </bottom>
    </border>
    <border>
      <right/>
      <top style="thin">
        <color rgb="FFD4AC0D"/>
      </top>
      <bottom style="thin">
        <color rgb="FFD4AC0D"/>
      </bottom>
    </border>
    <border>
      <top style="thin">
        <color rgb="FFD4AC0D"/>
      </top>
      <bottom style="thin">
        <color rgb="FFD4AC0D"/>
      </bottom>
    </border>
    <border>
      <left style="thin">
        <color rgb="FF1C4587"/>
      </left>
      <top style="thin">
        <color rgb="FF1E8449"/>
      </top>
      <bottom style="thin">
        <color rgb="FF1E8449"/>
      </bottom>
    </border>
    <border>
      <right/>
      <top style="thin">
        <color rgb="FF1E8449"/>
      </top>
      <bottom style="thin">
        <color rgb="FF1E8449"/>
      </bottom>
    </border>
    <border>
      <top style="thin">
        <color rgb="FF1E8449"/>
      </top>
      <bottom style="thin">
        <color rgb="FF1E8449"/>
      </bottom>
    </border>
    <border>
      <left style="thin">
        <color rgb="FF1C4587"/>
      </left>
      <top style="thin">
        <color rgb="FF1A5276"/>
      </top>
      <bottom style="thin">
        <color rgb="FF1C4587"/>
      </bottom>
    </border>
    <border>
      <right/>
      <top style="thin">
        <color rgb="FF1A5276"/>
      </top>
      <bottom style="thin">
        <color rgb="FF1C4587"/>
      </bottom>
    </border>
    <border>
      <top style="thin">
        <color rgb="FF1A5276"/>
      </top>
      <bottom style="thin">
        <color rgb="FF1C4587"/>
      </bottom>
    </border>
    <border>
      <left style="thin">
        <color rgb="FF2D5494"/>
      </left>
      <top style="thin">
        <color rgb="FF2D5494"/>
      </top>
    </border>
    <border>
      <top style="thin">
        <color rgb="FF2D5494"/>
      </top>
    </border>
    <border>
      <right/>
      <top style="thin">
        <color rgb="FF2D5494"/>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D5D8DC"/>
      </left>
      <right style="thin">
        <color rgb="FFD5D8DC"/>
      </right>
      <bottom style="thin">
        <color rgb="FFD5D8DC"/>
      </bottom>
    </border>
    <border>
      <left style="thin">
        <color rgb="FFF39C12"/>
      </left>
      <right style="thin">
        <color rgb="FFF39C12"/>
      </right>
      <bottom style="thin">
        <color rgb="FFF39C12"/>
      </bottom>
    </border>
    <border>
      <left style="thin">
        <color rgb="FFF39C12"/>
      </left>
      <bottom style="thin">
        <color rgb="FFF39C12"/>
      </bottom>
    </border>
    <border>
      <bottom style="thin">
        <color rgb="FFF39C12"/>
      </bottom>
    </border>
    <border>
      <left/>
      <right/>
      <top/>
      <bottom/>
    </border>
    <border>
      <left style="thin">
        <color rgb="FFF39C12"/>
      </left>
      <top style="thin">
        <color rgb="FFF39C12"/>
      </top>
      <bottom style="thin">
        <color rgb="FFF39C12"/>
      </bottom>
    </border>
    <border>
      <top style="thin">
        <color rgb="FFF39C12"/>
      </top>
      <bottom style="thin">
        <color rgb="FFF39C12"/>
      </bottom>
    </border>
    <border>
      <top style="thin">
        <color rgb="FF1B3A6B"/>
      </top>
      <bottom style="thin">
        <color rgb="FF1B3A6B"/>
      </bottom>
    </border>
    <border>
      <right style="thin">
        <color rgb="FF1B3A6B"/>
      </right>
      <top style="thin">
        <color rgb="FF1B3A6B"/>
      </top>
      <bottom style="thin">
        <color rgb="FF1B3A6B"/>
      </bottom>
    </border>
    <border>
      <left style="thin">
        <color rgb="FFD5D8DC"/>
      </left>
      <top style="thin">
        <color rgb="FFD5D8DC"/>
      </top>
      <bottom style="thin">
        <color rgb="FFD5D8DC"/>
      </bottom>
    </border>
    <border>
      <top style="thin">
        <color rgb="FFD5D8DC"/>
      </top>
      <bottom style="thin">
        <color rgb="FFD5D8DC"/>
      </bottom>
    </border>
    <border>
      <left style="thin">
        <color rgb="FFD5D8DC"/>
      </left>
    </border>
    <border>
      <left style="thin">
        <color rgb="FFD5D8DC"/>
      </left>
      <bottom style="thin">
        <color rgb="FFD5D8DC"/>
      </bottom>
    </border>
    <border>
      <left style="thin">
        <color rgb="FFD5D8DC"/>
      </left>
      <top style="thin">
        <color rgb="FFD5D8DC"/>
      </top>
    </border>
    <border>
      <top style="thin">
        <color rgb="FFD5D8DC"/>
      </top>
    </border>
    <border>
      <right style="thin">
        <color rgb="FFD5D8DC"/>
      </right>
      <top style="thin">
        <color rgb="FFD5D8DC"/>
      </top>
      <bottom style="thin">
        <color rgb="FFD5D8DC"/>
      </bottom>
    </border>
    <border>
      <left style="thin">
        <color rgb="FFD5D8DC"/>
      </left>
      <top style="thin">
        <color rgb="FFD5D8DC"/>
      </top>
      <bottom/>
    </border>
    <border>
      <right/>
      <top style="thin">
        <color rgb="FFD5D8DC"/>
      </top>
      <bottom/>
    </border>
    <border>
      <bottom style="thin">
        <color rgb="FFD5D8DC"/>
      </bottom>
    </border>
    <border>
      <left style="thin">
        <color rgb="FF1A6B6B"/>
      </left>
      <top style="thin">
        <color rgb="FF1A6B6B"/>
      </top>
      <bottom style="thin">
        <color rgb="FF1A6B6B"/>
      </bottom>
    </border>
    <border>
      <top style="thin">
        <color rgb="FF1A6B6B"/>
      </top>
      <bottom style="thin">
        <color rgb="FF1A6B6B"/>
      </bottom>
    </border>
    <border>
      <right style="thin">
        <color rgb="FF1A6B6B"/>
      </right>
      <top style="thin">
        <color rgb="FF1A6B6B"/>
      </top>
      <bottom style="thin">
        <color rgb="FF1A6B6B"/>
      </bottom>
    </border>
    <border>
      <left style="thin">
        <color rgb="FF1B3A6B"/>
      </left>
      <right/>
      <top style="thin">
        <color rgb="FF1B3A6B"/>
      </top>
      <bottom style="thin">
        <color rgb="FF1B3A6B"/>
      </bottom>
    </border>
    <border>
      <left style="thin">
        <color rgb="FF1A6B6B"/>
      </left>
      <right/>
      <top style="thin">
        <color rgb="FF1A6B6B"/>
      </top>
      <bottom style="thin">
        <color rgb="FF1A6B6B"/>
      </bottom>
    </border>
    <border>
      <left style="thin">
        <color rgb="FF2D5494"/>
      </left>
      <right/>
      <top style="thin">
        <color rgb="FF2D5494"/>
      </top>
      <bottom style="thin">
        <color rgb="FF2D5494"/>
      </bottom>
    </border>
    <border>
      <top style="thin">
        <color rgb="FF2D5494"/>
      </top>
      <bottom style="thin">
        <color rgb="FF2D5494"/>
      </bottom>
    </border>
    <border>
      <left style="thin">
        <color rgb="FFF39C12"/>
      </left>
      <right/>
      <top style="thin">
        <color rgb="FFF39C12"/>
      </top>
      <bottom style="thin">
        <color rgb="FFF39C12"/>
      </bottom>
    </border>
    <border>
      <right/>
      <top style="thin">
        <color rgb="FFF39C12"/>
      </top>
      <bottom style="thin">
        <color rgb="FFF39C12"/>
      </bottom>
    </border>
    <border>
      <left style="thin">
        <color rgb="FFF39C12"/>
      </left>
      <top style="thin">
        <color rgb="FFF39C12"/>
      </top>
    </border>
    <border>
      <top style="thin">
        <color rgb="FFF39C12"/>
      </top>
    </border>
    <border>
      <right/>
      <top style="thin">
        <color rgb="FFF39C12"/>
      </top>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top/>
    </border>
    <border>
      <top/>
    </border>
    <border>
      <right/>
      <top/>
    </border>
    <border>
      <left/>
    </border>
    <border>
      <right/>
    </border>
    <border>
      <left style="thin">
        <color rgb="FFFFFFFF"/>
      </left>
      <bottom style="thin">
        <color rgb="FFFFFFFF"/>
      </bottom>
    </border>
    <border>
      <bottom style="thin">
        <color rgb="FFFFFFFF"/>
      </bottom>
    </border>
    <border>
      <right style="thin">
        <color rgb="FFFFFFFF"/>
      </right>
      <bottom style="thin">
        <color rgb="FFFFFFFF"/>
      </bottom>
    </border>
    <border>
      <left/>
      <bottom/>
    </border>
    <border>
      <bottom/>
    </border>
    <border>
      <right/>
      <bottom/>
    </border>
    <border>
      <left style="thin">
        <color rgb="FFF39C12"/>
      </left>
    </border>
    <border>
      <right/>
      <bottom style="thin">
        <color rgb="FFF39C12"/>
      </bottom>
    </border>
    <border>
      <left/>
      <right/>
    </border>
  </borders>
  <cellStyleXfs count="1">
    <xf borderId="0" fillId="0" fontId="0" numFmtId="0" applyAlignment="1" applyFont="1"/>
  </cellStyleXfs>
  <cellXfs count="47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1" fillId="3" fontId="4" numFmtId="0" xfId="0" applyAlignment="1" applyBorder="1" applyFill="1" applyFont="1">
      <alignment horizontal="center" shrinkToFit="0" vertical="center" wrapText="1"/>
    </xf>
    <xf borderId="3" fillId="2" fontId="5" numFmtId="0" xfId="0" applyAlignment="1" applyBorder="1" applyFont="1">
      <alignment horizontal="center" shrinkToFit="0" vertical="center" wrapText="1"/>
    </xf>
    <xf borderId="4" fillId="0" fontId="3" numFmtId="0" xfId="0" applyBorder="1" applyFont="1"/>
    <xf borderId="5" fillId="4" fontId="6" numFmtId="0" xfId="0" applyAlignment="1" applyBorder="1" applyFill="1" applyFont="1">
      <alignment horizontal="left" shrinkToFit="0" vertical="center" wrapText="1"/>
    </xf>
    <xf borderId="5" fillId="5" fontId="7" numFmtId="0" xfId="0" applyAlignment="1" applyBorder="1" applyFill="1" applyFont="1">
      <alignment horizontal="left" readingOrder="0" shrinkToFit="0" vertical="center" wrapText="1"/>
    </xf>
    <xf borderId="5" fillId="6" fontId="6" numFmtId="0" xfId="0" applyAlignment="1" applyBorder="1" applyFill="1" applyFont="1">
      <alignment horizontal="left" shrinkToFit="0" vertical="center" wrapText="1"/>
    </xf>
    <xf borderId="5" fillId="7" fontId="7" numFmtId="0" xfId="0" applyAlignment="1" applyBorder="1" applyFill="1" applyFont="1">
      <alignment horizontal="left" shrinkToFit="0" vertical="center" wrapText="1"/>
    </xf>
    <xf borderId="5" fillId="5" fontId="7" numFmtId="0" xfId="0" applyAlignment="1" applyBorder="1" applyFont="1">
      <alignment horizontal="left" shrinkToFit="0" vertical="center" wrapText="1"/>
    </xf>
    <xf borderId="6" fillId="2" fontId="5" numFmtId="0" xfId="0" applyAlignment="1" applyBorder="1" applyFont="1">
      <alignment horizontal="center" shrinkToFit="0" vertical="center" wrapText="1"/>
    </xf>
    <xf borderId="7" fillId="0" fontId="3" numFmtId="0" xfId="0" applyBorder="1" applyFont="1"/>
    <xf borderId="8" fillId="3" fontId="8" numFmtId="0" xfId="0" applyAlignment="1" applyBorder="1" applyFont="1">
      <alignment horizontal="center" shrinkToFit="0" vertical="center" wrapText="1"/>
    </xf>
    <xf borderId="9" fillId="5" fontId="9" numFmtId="0" xfId="0" applyAlignment="1" applyBorder="1" applyFont="1">
      <alignment horizontal="left" shrinkToFit="0" vertical="center" wrapText="1"/>
    </xf>
    <xf borderId="9" fillId="8" fontId="10" numFmtId="0" xfId="0" applyAlignment="1" applyBorder="1" applyFill="1" applyFont="1">
      <alignment horizontal="left" readingOrder="0" shrinkToFit="0" vertical="center" wrapText="1"/>
    </xf>
    <xf borderId="9" fillId="9" fontId="9" numFmtId="0" xfId="0" applyAlignment="1" applyBorder="1" applyFill="1" applyFont="1">
      <alignment horizontal="left" shrinkToFit="0" vertical="center" wrapText="1"/>
    </xf>
    <xf borderId="9" fillId="10" fontId="10" numFmtId="0" xfId="0" applyAlignment="1" applyBorder="1" applyFill="1" applyFont="1">
      <alignment horizontal="left" shrinkToFit="0" vertical="center" wrapText="1"/>
    </xf>
    <xf borderId="9" fillId="11" fontId="9" numFmtId="0" xfId="0" applyAlignment="1" applyBorder="1" applyFill="1" applyFont="1">
      <alignment horizontal="left" shrinkToFit="0" vertical="center" wrapText="1"/>
    </xf>
    <xf borderId="9" fillId="12" fontId="10" numFmtId="0" xfId="0" applyAlignment="1" applyBorder="1" applyFill="1" applyFont="1">
      <alignment horizontal="left" shrinkToFit="0" vertical="center" wrapText="1"/>
    </xf>
    <xf borderId="9" fillId="6" fontId="9" numFmtId="0" xfId="0" applyAlignment="1" applyBorder="1" applyFont="1">
      <alignment horizontal="left" shrinkToFit="0" vertical="center" wrapText="1"/>
    </xf>
    <xf borderId="9" fillId="13" fontId="10" numFmtId="0" xfId="0" applyAlignment="1" applyBorder="1" applyFill="1" applyFont="1">
      <alignment horizontal="left" shrinkToFit="0" vertical="center" wrapText="1"/>
    </xf>
    <xf borderId="9" fillId="14" fontId="9" numFmtId="0" xfId="0" applyAlignment="1" applyBorder="1" applyFill="1" applyFont="1">
      <alignment horizontal="left" shrinkToFit="0" vertical="center" wrapText="1"/>
    </xf>
    <xf borderId="9" fillId="15" fontId="10" numFmtId="0" xfId="0" applyAlignment="1" applyBorder="1" applyFill="1" applyFont="1">
      <alignment horizontal="left" shrinkToFit="0" vertical="center" wrapText="1"/>
    </xf>
    <xf borderId="9" fillId="5" fontId="7" numFmtId="0" xfId="0" applyAlignment="1" applyBorder="1" applyFont="1">
      <alignment horizontal="left" shrinkToFit="0" vertical="center" wrapText="1"/>
    </xf>
    <xf borderId="3" fillId="16" fontId="11" numFmtId="0" xfId="0" applyAlignment="1" applyBorder="1" applyFill="1" applyFont="1">
      <alignment horizontal="center" readingOrder="0" shrinkToFit="0" vertical="center" wrapText="1"/>
    </xf>
    <xf borderId="10" fillId="0" fontId="3" numFmtId="0" xfId="0" applyBorder="1" applyFont="1"/>
    <xf borderId="0" fillId="0" fontId="1" numFmtId="0" xfId="0" applyAlignment="1" applyFont="1">
      <alignment shrinkToFit="0" vertical="bottom" wrapText="0"/>
    </xf>
    <xf borderId="1" fillId="2" fontId="12" numFmtId="0" xfId="0" applyAlignment="1" applyBorder="1" applyFont="1">
      <alignment horizontal="center" shrinkToFit="0" vertical="center" wrapText="0"/>
    </xf>
    <xf borderId="11" fillId="0" fontId="3" numFmtId="0" xfId="0" applyBorder="1" applyFont="1"/>
    <xf borderId="1" fillId="3" fontId="13" numFmtId="0" xfId="0" applyAlignment="1" applyBorder="1" applyFont="1">
      <alignment horizontal="center" shrinkToFit="0" vertical="center" wrapText="1"/>
    </xf>
    <xf borderId="1" fillId="3" fontId="14" numFmtId="0" xfId="0" applyAlignment="1" applyBorder="1" applyFont="1">
      <alignment horizontal="center" shrinkToFit="0" vertical="center" wrapText="0"/>
    </xf>
    <xf borderId="12" fillId="2" fontId="5" numFmtId="0" xfId="0" applyAlignment="1" applyBorder="1" applyFont="1">
      <alignment horizontal="center" shrinkToFit="0" vertical="center" wrapText="0"/>
    </xf>
    <xf borderId="13" fillId="0" fontId="3" numFmtId="0" xfId="0" applyBorder="1" applyFont="1"/>
    <xf borderId="14" fillId="0" fontId="3" numFmtId="0" xfId="0" applyBorder="1" applyFont="1"/>
    <xf borderId="15" fillId="4" fontId="6" numFmtId="0" xfId="0" applyAlignment="1" applyBorder="1" applyFont="1">
      <alignment horizontal="left" shrinkToFit="0" vertical="center" wrapText="1"/>
    </xf>
    <xf borderId="12" fillId="5" fontId="7" numFmtId="0" xfId="0" applyAlignment="1" applyBorder="1" applyFont="1">
      <alignment horizontal="left" shrinkToFit="0" vertical="center" wrapText="1"/>
    </xf>
    <xf borderId="12" fillId="5" fontId="7" numFmtId="0" xfId="0" applyAlignment="1" applyBorder="1" applyFont="1">
      <alignment horizontal="left" readingOrder="0" shrinkToFit="0" vertical="center" wrapText="1"/>
    </xf>
    <xf borderId="15" fillId="3" fontId="15" numFmtId="0" xfId="0" applyAlignment="1" applyBorder="1" applyFont="1">
      <alignment horizontal="center" shrinkToFit="0" vertical="center" wrapText="0"/>
    </xf>
    <xf borderId="12" fillId="8" fontId="1" numFmtId="0" xfId="0" applyAlignment="1" applyBorder="1" applyFont="1">
      <alignment horizontal="left" shrinkToFit="0" vertical="center" wrapText="1"/>
    </xf>
    <xf borderId="12" fillId="5" fontId="1" numFmtId="0" xfId="0" applyAlignment="1" applyBorder="1" applyFont="1">
      <alignment horizontal="left" shrinkToFit="0" vertical="center" wrapText="1"/>
    </xf>
    <xf borderId="16" fillId="2" fontId="5" numFmtId="0" xfId="0" applyAlignment="1" applyBorder="1" applyFont="1">
      <alignment horizontal="center" shrinkToFit="0" vertical="center" wrapText="0"/>
    </xf>
    <xf borderId="17" fillId="0" fontId="3" numFmtId="0" xfId="0" applyBorder="1" applyFont="1"/>
    <xf borderId="18" fillId="0" fontId="3" numFmtId="0" xfId="0" applyBorder="1" applyFont="1"/>
    <xf borderId="19" fillId="17" fontId="16" numFmtId="0" xfId="0" applyAlignment="1" applyBorder="1" applyFill="1" applyFont="1">
      <alignment horizontal="left" shrinkToFit="0" vertical="center" wrapText="0"/>
    </xf>
    <xf borderId="20" fillId="17" fontId="1" numFmtId="0" xfId="0" applyAlignment="1" applyBorder="1" applyFont="1">
      <alignment horizontal="left" shrinkToFit="0" vertical="center" wrapText="1"/>
    </xf>
    <xf borderId="21" fillId="0" fontId="3" numFmtId="0" xfId="0" applyBorder="1" applyFont="1"/>
    <xf borderId="22" fillId="18" fontId="17" numFmtId="0" xfId="0" applyAlignment="1" applyBorder="1" applyFill="1" applyFont="1">
      <alignment horizontal="left" shrinkToFit="0" vertical="center" wrapText="0"/>
    </xf>
    <xf borderId="23" fillId="18" fontId="1" numFmtId="0" xfId="0" applyAlignment="1" applyBorder="1" applyFont="1">
      <alignment horizontal="left" shrinkToFit="0" vertical="center" wrapText="1"/>
    </xf>
    <xf borderId="24" fillId="0" fontId="3" numFmtId="0" xfId="0" applyBorder="1" applyFont="1"/>
    <xf borderId="25" fillId="6" fontId="18" numFmtId="0" xfId="0" applyAlignment="1" applyBorder="1" applyFont="1">
      <alignment horizontal="left" shrinkToFit="0" vertical="center" wrapText="0"/>
    </xf>
    <xf borderId="26" fillId="6" fontId="1" numFmtId="0" xfId="0" applyAlignment="1" applyBorder="1" applyFont="1">
      <alignment horizontal="left" shrinkToFit="0" vertical="center" wrapText="1"/>
    </xf>
    <xf borderId="27" fillId="0" fontId="3" numFmtId="0" xfId="0" applyBorder="1" applyFont="1"/>
    <xf borderId="28" fillId="11" fontId="19" numFmtId="0" xfId="0" applyAlignment="1" applyBorder="1" applyFont="1">
      <alignment horizontal="left" shrinkToFit="0" vertical="center" wrapText="0"/>
    </xf>
    <xf borderId="29" fillId="11" fontId="1" numFmtId="0" xfId="0" applyAlignment="1" applyBorder="1" applyFont="1">
      <alignment horizontal="left" shrinkToFit="0" vertical="center" wrapText="1"/>
    </xf>
    <xf borderId="30" fillId="0" fontId="3" numFmtId="0" xfId="0" applyBorder="1" applyFont="1"/>
    <xf borderId="31" fillId="10" fontId="20" numFmtId="0" xfId="0" applyAlignment="1" applyBorder="1" applyFont="1">
      <alignment horizontal="left" shrinkToFit="0" vertical="center" wrapText="0"/>
    </xf>
    <xf borderId="32" fillId="10" fontId="1" numFmtId="0" xfId="0" applyAlignment="1" applyBorder="1" applyFont="1">
      <alignment horizontal="left" shrinkToFit="0" vertical="center" wrapText="1"/>
    </xf>
    <xf borderId="33" fillId="0" fontId="3" numFmtId="0" xfId="0" applyBorder="1" applyFont="1"/>
    <xf borderId="15" fillId="4" fontId="6" numFmtId="0" xfId="0" applyAlignment="1" applyBorder="1" applyFont="1">
      <alignment horizontal="left" shrinkToFit="0" vertical="center" wrapText="0"/>
    </xf>
    <xf borderId="12" fillId="5" fontId="21" numFmtId="0" xfId="0" applyAlignment="1" applyBorder="1" applyFont="1">
      <alignment horizontal="left" readingOrder="0" shrinkToFit="0" vertical="center" wrapText="1"/>
    </xf>
    <xf borderId="15" fillId="4" fontId="6" numFmtId="0" xfId="0" applyAlignment="1" applyBorder="1" applyFont="1">
      <alignment horizontal="left" readingOrder="0" shrinkToFit="0" vertical="center" wrapText="0"/>
    </xf>
    <xf borderId="0" fillId="0" fontId="22" numFmtId="0" xfId="0" applyAlignment="1" applyFont="1">
      <alignment readingOrder="0" vertical="center"/>
    </xf>
    <xf borderId="14" fillId="5" fontId="23" numFmtId="0" xfId="0" applyAlignment="1" applyBorder="1" applyFont="1">
      <alignment horizontal="left" readingOrder="0" shrinkToFit="0" vertical="center" wrapText="1"/>
    </xf>
    <xf borderId="34" fillId="4" fontId="6" numFmtId="0" xfId="0" applyAlignment="1" applyBorder="1" applyFont="1">
      <alignment horizontal="left" readingOrder="0" shrinkToFit="0" vertical="center" wrapText="0"/>
    </xf>
    <xf borderId="35" fillId="0" fontId="24" numFmtId="0" xfId="0" applyAlignment="1" applyBorder="1" applyFont="1">
      <alignment readingOrder="0" vertical="center"/>
    </xf>
    <xf borderId="36" fillId="0" fontId="3" numFmtId="0" xfId="0" applyBorder="1" applyFont="1"/>
    <xf borderId="35" fillId="5" fontId="25" numFmtId="0" xfId="0" applyAlignment="1" applyBorder="1" applyFont="1">
      <alignment horizontal="left" readingOrder="0" shrinkToFit="0" vertical="center" wrapText="1"/>
    </xf>
    <xf borderId="1" fillId="2" fontId="26" numFmtId="0" xfId="0" applyAlignment="1" applyBorder="1" applyFont="1">
      <alignment horizontal="center" readingOrder="0" shrinkToFit="0" vertical="center" wrapText="0"/>
    </xf>
    <xf borderId="1" fillId="19" fontId="26" numFmtId="0" xfId="0" applyAlignment="1" applyBorder="1" applyFill="1" applyFont="1">
      <alignment horizontal="center" readingOrder="0" shrinkToFit="0" vertical="center" wrapText="0"/>
    </xf>
    <xf borderId="0" fillId="0" fontId="26" numFmtId="0" xfId="0" applyAlignment="1" applyFont="1">
      <alignment horizontal="center" shrinkToFit="0" vertical="center" wrapText="0"/>
    </xf>
    <xf borderId="1" fillId="3" fontId="4" numFmtId="0" xfId="0" applyAlignment="1" applyBorder="1" applyFont="1">
      <alignment horizontal="center" shrinkToFit="0" vertical="center" wrapText="0"/>
    </xf>
    <xf borderId="1" fillId="20" fontId="4" numFmtId="0" xfId="0" applyAlignment="1" applyBorder="1" applyFill="1" applyFont="1">
      <alignment horizontal="center" shrinkToFit="0" vertical="center" wrapText="0"/>
    </xf>
    <xf borderId="0" fillId="0" fontId="4" numFmtId="0" xfId="0" applyAlignment="1" applyFont="1">
      <alignment horizontal="center" shrinkToFit="0" vertical="center" wrapText="0"/>
    </xf>
    <xf borderId="8" fillId="3" fontId="8" numFmtId="0" xfId="0" applyAlignment="1" applyBorder="1" applyFont="1">
      <alignment horizontal="center" readingOrder="0" shrinkToFit="0" vertical="center" wrapText="1"/>
    </xf>
    <xf borderId="8" fillId="20" fontId="8" numFmtId="0" xfId="0" applyAlignment="1" applyBorder="1" applyFont="1">
      <alignment horizontal="center" shrinkToFit="0" vertical="center" wrapText="1"/>
    </xf>
    <xf borderId="8" fillId="20" fontId="8"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8" fillId="3" fontId="27" numFmtId="0" xfId="0" applyAlignment="1" applyBorder="1" applyFont="1">
      <alignment horizontal="center" shrinkToFit="0" vertical="center" wrapText="1"/>
    </xf>
    <xf borderId="8" fillId="3" fontId="28" numFmtId="0" xfId="0" applyAlignment="1" applyBorder="1" applyFont="1">
      <alignment horizontal="center" shrinkToFit="0" vertical="center" wrapText="1"/>
    </xf>
    <xf borderId="8" fillId="20" fontId="27" numFmtId="0" xfId="0" applyAlignment="1" applyBorder="1" applyFont="1">
      <alignment horizontal="center" shrinkToFit="0" vertical="center" wrapText="1"/>
    </xf>
    <xf borderId="8" fillId="20" fontId="28" numFmtId="0" xfId="0" applyAlignment="1" applyBorder="1" applyFont="1">
      <alignment horizontal="center" shrinkToFit="0" vertical="center" wrapText="1"/>
    </xf>
    <xf borderId="0" fillId="0" fontId="27" numFmtId="0" xfId="0" applyAlignment="1" applyFont="1">
      <alignment horizontal="center" shrinkToFit="0" vertical="center" wrapText="1"/>
    </xf>
    <xf borderId="9" fillId="5" fontId="9" numFmtId="0" xfId="0" applyAlignment="1" applyBorder="1" applyFont="1">
      <alignment horizontal="center" shrinkToFit="0" vertical="center" wrapText="0"/>
    </xf>
    <xf borderId="9" fillId="5" fontId="29" numFmtId="0" xfId="0" applyAlignment="1" applyBorder="1" applyFont="1">
      <alignment horizontal="left" shrinkToFit="0" vertical="center" wrapText="0"/>
    </xf>
    <xf borderId="9" fillId="5" fontId="30" numFmtId="164" xfId="0" applyAlignment="1" applyBorder="1" applyFont="1" applyNumberFormat="1">
      <alignment horizontal="center" shrinkToFit="0" vertical="center" wrapText="0"/>
    </xf>
    <xf borderId="5" fillId="21" fontId="31" numFmtId="2" xfId="0" applyAlignment="1" applyBorder="1" applyFill="1" applyFont="1" applyNumberFormat="1">
      <alignment horizontal="center" shrinkToFit="0" vertical="center" wrapText="0"/>
    </xf>
    <xf borderId="37" fillId="7" fontId="1" numFmtId="0" xfId="0" applyAlignment="1" applyBorder="1" applyFont="1">
      <alignment horizontal="left" shrinkToFit="0" vertical="center" wrapText="1"/>
    </xf>
    <xf borderId="5" fillId="22" fontId="31" numFmtId="2" xfId="0" applyAlignment="1" applyBorder="1" applyFill="1" applyFont="1" applyNumberFormat="1">
      <alignment horizontal="center" shrinkToFit="0" vertical="center" wrapText="0"/>
    </xf>
    <xf borderId="0" fillId="0" fontId="1" numFmtId="0" xfId="0" applyAlignment="1" applyFont="1">
      <alignment horizontal="left" shrinkToFit="0" vertical="center" wrapText="1"/>
    </xf>
    <xf borderId="9" fillId="23" fontId="9" numFmtId="0" xfId="0" applyAlignment="1" applyBorder="1" applyFill="1" applyFont="1">
      <alignment horizontal="center" shrinkToFit="0" vertical="center" wrapText="0"/>
    </xf>
    <xf borderId="9" fillId="23" fontId="29" numFmtId="0" xfId="0" applyAlignment="1" applyBorder="1" applyFont="1">
      <alignment horizontal="left" shrinkToFit="0" vertical="center" wrapText="0"/>
    </xf>
    <xf borderId="9" fillId="23" fontId="30" numFmtId="164" xfId="0" applyAlignment="1" applyBorder="1" applyFont="1" applyNumberFormat="1">
      <alignment horizontal="center" shrinkToFit="0" vertical="center" wrapText="0"/>
    </xf>
    <xf borderId="5" fillId="16" fontId="31" numFmtId="2" xfId="0" applyAlignment="1" applyBorder="1" applyFont="1" applyNumberFormat="1">
      <alignment horizontal="center" shrinkToFit="0" vertical="center" wrapText="0"/>
    </xf>
    <xf borderId="9" fillId="22" fontId="9" numFmtId="0" xfId="0" applyAlignment="1" applyBorder="1" applyFont="1">
      <alignment horizontal="center" shrinkToFit="0" vertical="center" wrapText="0"/>
    </xf>
    <xf borderId="9" fillId="22" fontId="29" numFmtId="0" xfId="0" applyAlignment="1" applyBorder="1" applyFont="1">
      <alignment horizontal="left" shrinkToFit="0" vertical="center" wrapText="0"/>
    </xf>
    <xf borderId="9" fillId="22" fontId="30" numFmtId="164" xfId="0" applyAlignment="1" applyBorder="1" applyFont="1" applyNumberFormat="1">
      <alignment horizontal="center" shrinkToFit="0" vertical="center" wrapText="0"/>
    </xf>
    <xf borderId="5" fillId="24" fontId="31" numFmtId="2" xfId="0" applyAlignment="1" applyBorder="1" applyFill="1" applyFont="1" applyNumberFormat="1">
      <alignment horizontal="center" shrinkToFit="0" vertical="center" wrapText="0"/>
    </xf>
    <xf borderId="6" fillId="2" fontId="8" numFmtId="0" xfId="0" applyAlignment="1" applyBorder="1" applyFont="1">
      <alignment horizontal="center" shrinkToFit="0" vertical="center" wrapText="0"/>
    </xf>
    <xf borderId="38" fillId="25" fontId="8" numFmtId="2" xfId="0" applyAlignment="1" applyBorder="1" applyFill="1" applyFont="1" applyNumberFormat="1">
      <alignment horizontal="center" shrinkToFit="0" vertical="center" wrapText="0"/>
    </xf>
    <xf borderId="8" fillId="2" fontId="8" numFmtId="2" xfId="0" applyAlignment="1" applyBorder="1" applyFont="1" applyNumberFormat="1">
      <alignment horizontal="center" shrinkToFit="0" vertical="center" wrapText="0"/>
    </xf>
    <xf borderId="8" fillId="2" fontId="8" numFmtId="0" xfId="0" applyAlignment="1" applyBorder="1" applyFont="1">
      <alignment horizontal="center" shrinkToFit="0" vertical="center" wrapText="0"/>
    </xf>
    <xf borderId="0" fillId="0" fontId="8" numFmtId="0" xfId="0" applyAlignment="1" applyFont="1">
      <alignment horizontal="center" shrinkToFit="0" vertical="center" wrapText="0"/>
    </xf>
    <xf borderId="39" fillId="2" fontId="8" numFmtId="0" xfId="0" applyAlignment="1" applyBorder="1" applyFont="1">
      <alignment horizontal="center" shrinkToFit="0" vertical="center" wrapText="0"/>
    </xf>
    <xf borderId="40" fillId="0" fontId="3" numFmtId="0" xfId="0" applyBorder="1" applyFont="1"/>
    <xf borderId="41" fillId="0" fontId="3" numFmtId="0" xfId="0" applyBorder="1" applyFont="1"/>
    <xf borderId="42" fillId="17" fontId="32" numFmtId="0" xfId="0" applyAlignment="1" applyBorder="1" applyFont="1">
      <alignment horizontal="center" shrinkToFit="0" vertical="center" wrapText="0"/>
    </xf>
    <xf borderId="43" fillId="0" fontId="3" numFmtId="0" xfId="0" applyBorder="1" applyFont="1"/>
    <xf borderId="20" fillId="17" fontId="32" numFmtId="0" xfId="0" applyAlignment="1" applyBorder="1" applyFont="1">
      <alignment horizontal="center" shrinkToFit="0" vertical="center" wrapText="0"/>
    </xf>
    <xf borderId="44" fillId="0" fontId="3" numFmtId="0" xfId="0" applyBorder="1" applyFont="1"/>
    <xf borderId="20" fillId="17" fontId="33" numFmtId="0" xfId="0" applyAlignment="1" applyBorder="1" applyFont="1">
      <alignment horizontal="left" shrinkToFit="0" vertical="center" wrapText="0"/>
    </xf>
    <xf borderId="45" fillId="18" fontId="34" numFmtId="0" xfId="0" applyAlignment="1" applyBorder="1" applyFont="1">
      <alignment horizontal="center" shrinkToFit="0" vertical="center" wrapText="0"/>
    </xf>
    <xf borderId="46" fillId="0" fontId="3" numFmtId="0" xfId="0" applyBorder="1" applyFont="1"/>
    <xf borderId="23" fillId="18" fontId="34" numFmtId="0" xfId="0" applyAlignment="1" applyBorder="1" applyFont="1">
      <alignment horizontal="center" shrinkToFit="0" vertical="center" wrapText="0"/>
    </xf>
    <xf borderId="47" fillId="0" fontId="3" numFmtId="0" xfId="0" applyBorder="1" applyFont="1"/>
    <xf borderId="23" fillId="18" fontId="35" numFmtId="0" xfId="0" applyAlignment="1" applyBorder="1" applyFont="1">
      <alignment horizontal="left" shrinkToFit="0" vertical="center" wrapText="0"/>
    </xf>
    <xf borderId="48" fillId="6" fontId="36" numFmtId="0" xfId="0" applyAlignment="1" applyBorder="1" applyFont="1">
      <alignment horizontal="center" shrinkToFit="0" vertical="center" wrapText="0"/>
    </xf>
    <xf borderId="49" fillId="0" fontId="3" numFmtId="0" xfId="0" applyBorder="1" applyFont="1"/>
    <xf borderId="26" fillId="6" fontId="36" numFmtId="0" xfId="0" applyAlignment="1" applyBorder="1" applyFont="1">
      <alignment horizontal="center" shrinkToFit="0" vertical="center" wrapText="0"/>
    </xf>
    <xf borderId="50" fillId="0" fontId="3" numFmtId="0" xfId="0" applyBorder="1" applyFont="1"/>
    <xf borderId="26" fillId="6" fontId="37" numFmtId="0" xfId="0" applyAlignment="1" applyBorder="1" applyFont="1">
      <alignment horizontal="left" shrinkToFit="0" vertical="center" wrapText="0"/>
    </xf>
    <xf borderId="51" fillId="11" fontId="38" numFmtId="0" xfId="0" applyAlignment="1" applyBorder="1" applyFont="1">
      <alignment horizontal="center" shrinkToFit="0" vertical="center" wrapText="0"/>
    </xf>
    <xf borderId="52" fillId="0" fontId="3" numFmtId="0" xfId="0" applyBorder="1" applyFont="1"/>
    <xf borderId="29" fillId="11" fontId="38" numFmtId="0" xfId="0" applyAlignment="1" applyBorder="1" applyFont="1">
      <alignment horizontal="center" shrinkToFit="0" vertical="center" wrapText="0"/>
    </xf>
    <xf borderId="53" fillId="0" fontId="3" numFmtId="0" xfId="0" applyBorder="1" applyFont="1"/>
    <xf borderId="29" fillId="11" fontId="39" numFmtId="0" xfId="0" applyAlignment="1" applyBorder="1" applyFont="1">
      <alignment horizontal="left" shrinkToFit="0" vertical="center" wrapText="0"/>
    </xf>
    <xf borderId="54" fillId="10" fontId="40" numFmtId="0" xfId="0" applyAlignment="1" applyBorder="1" applyFont="1">
      <alignment horizontal="center" shrinkToFit="0" vertical="center" wrapText="0"/>
    </xf>
    <xf borderId="55" fillId="0" fontId="3" numFmtId="0" xfId="0" applyBorder="1" applyFont="1"/>
    <xf borderId="32" fillId="10" fontId="40" numFmtId="0" xfId="0" applyAlignment="1" applyBorder="1" applyFont="1">
      <alignment horizontal="center" shrinkToFit="0" vertical="center" wrapText="0"/>
    </xf>
    <xf borderId="56" fillId="0" fontId="3" numFmtId="0" xfId="0" applyBorder="1" applyFont="1"/>
    <xf borderId="32" fillId="10" fontId="41" numFmtId="0" xfId="0" applyAlignment="1" applyBorder="1" applyFont="1">
      <alignment horizontal="left" shrinkToFit="0" vertical="center" wrapText="0"/>
    </xf>
    <xf borderId="1" fillId="2" fontId="42" numFmtId="0" xfId="0" applyAlignment="1" applyBorder="1" applyFont="1">
      <alignment horizontal="center" shrinkToFit="0" vertical="center" wrapText="0"/>
    </xf>
    <xf borderId="1" fillId="3" fontId="28" numFmtId="0" xfId="0" applyAlignment="1" applyBorder="1" applyFont="1">
      <alignment horizontal="left" shrinkToFit="0" vertical="center" wrapText="0"/>
    </xf>
    <xf borderId="3" fillId="3" fontId="43" numFmtId="0" xfId="0" applyAlignment="1" applyBorder="1" applyFont="1">
      <alignment horizontal="center" shrinkToFit="0" vertical="center" wrapText="0"/>
    </xf>
    <xf borderId="9" fillId="23" fontId="9" numFmtId="0" xfId="0" applyAlignment="1" applyBorder="1" applyFont="1">
      <alignment horizontal="left" shrinkToFit="0" vertical="center" wrapText="0"/>
    </xf>
    <xf borderId="37" fillId="7" fontId="44" numFmtId="0" xfId="0" applyAlignment="1" applyBorder="1" applyFont="1">
      <alignment horizontal="left" readingOrder="0" shrinkToFit="0" vertical="center" wrapText="0"/>
    </xf>
    <xf borderId="9" fillId="23" fontId="9" numFmtId="0" xfId="0" applyAlignment="1" applyBorder="1" applyFont="1">
      <alignment horizontal="left" readingOrder="0" shrinkToFit="0" vertical="center" wrapText="0"/>
    </xf>
    <xf borderId="37" fillId="7" fontId="1" numFmtId="0" xfId="0" applyAlignment="1" applyBorder="1" applyFont="1">
      <alignment horizontal="right" readingOrder="0" shrinkToFit="0" vertical="center" wrapText="0"/>
    </xf>
    <xf borderId="9" fillId="5" fontId="9" numFmtId="0" xfId="0" applyAlignment="1" applyBorder="1" applyFont="1">
      <alignment horizontal="left" shrinkToFit="0" vertical="center" wrapText="0"/>
    </xf>
    <xf borderId="9" fillId="5" fontId="9" numFmtId="0" xfId="0" applyAlignment="1" applyBorder="1" applyFont="1">
      <alignment horizontal="left" readingOrder="0" shrinkToFit="0" vertical="center" wrapText="0"/>
    </xf>
    <xf borderId="0" fillId="0" fontId="44" numFmtId="0" xfId="0" applyAlignment="1" applyFont="1">
      <alignment shrinkToFit="0" vertical="bottom" wrapText="0"/>
    </xf>
    <xf borderId="0" fillId="0" fontId="45" numFmtId="0" xfId="0" applyAlignment="1" applyFont="1">
      <alignment shrinkToFit="0" vertical="bottom" wrapText="0"/>
    </xf>
    <xf borderId="57" fillId="2" fontId="46" numFmtId="0" xfId="0" applyAlignment="1" applyBorder="1" applyFont="1">
      <alignment horizontal="center" shrinkToFit="0" vertical="center" wrapText="1"/>
    </xf>
    <xf borderId="58" fillId="0" fontId="3" numFmtId="0" xfId="0" applyBorder="1" applyFont="1"/>
    <xf borderId="59" fillId="0" fontId="3" numFmtId="0" xfId="0" applyBorder="1" applyFont="1"/>
    <xf borderId="0" fillId="0" fontId="47" numFmtId="0" xfId="0" applyFont="1"/>
    <xf borderId="0" fillId="0" fontId="48" numFmtId="0" xfId="0" applyAlignment="1" applyFont="1">
      <alignment shrinkToFit="0" vertical="bottom" wrapText="0"/>
    </xf>
    <xf borderId="60" fillId="26" fontId="49" numFmtId="0" xfId="0" applyAlignment="1" applyBorder="1" applyFill="1" applyFont="1">
      <alignment horizontal="center" shrinkToFit="0" vertical="center" wrapText="1"/>
    </xf>
    <xf borderId="61" fillId="0" fontId="3" numFmtId="0" xfId="0" applyBorder="1" applyFont="1"/>
    <xf borderId="62" fillId="0" fontId="3" numFmtId="0" xfId="0" applyBorder="1" applyFont="1"/>
    <xf borderId="11" fillId="27" fontId="48" numFmtId="0" xfId="0" applyAlignment="1" applyBorder="1" applyFill="1" applyFont="1">
      <alignment shrinkToFit="0" vertical="bottom" wrapText="0"/>
    </xf>
    <xf borderId="60" fillId="28" fontId="49" numFmtId="0" xfId="0" applyAlignment="1" applyBorder="1" applyFill="1" applyFont="1">
      <alignment horizontal="center" shrinkToFit="0" vertical="center" wrapText="1"/>
    </xf>
    <xf borderId="0" fillId="0" fontId="50" numFmtId="0" xfId="0" applyFont="1"/>
    <xf borderId="63" fillId="3" fontId="51" numFmtId="0" xfId="0" applyAlignment="1" applyBorder="1" applyFont="1">
      <alignment horizontal="center"/>
    </xf>
    <xf borderId="60" fillId="29" fontId="52" numFmtId="0" xfId="0" applyAlignment="1" applyBorder="1" applyFill="1" applyFont="1">
      <alignment horizontal="center" shrinkToFit="0" vertical="center" wrapText="0"/>
    </xf>
    <xf borderId="11" fillId="27" fontId="1" numFmtId="0" xfId="0" applyAlignment="1" applyBorder="1" applyFont="1">
      <alignment shrinkToFit="0" vertical="bottom" wrapText="0"/>
    </xf>
    <xf borderId="63" fillId="20" fontId="53" numFmtId="0" xfId="0" applyAlignment="1" applyBorder="1" applyFont="1">
      <alignment horizontal="center" shrinkToFit="0" vertical="center" wrapText="0"/>
    </xf>
    <xf borderId="60" fillId="20" fontId="52" numFmtId="0" xfId="0" applyAlignment="1" applyBorder="1" applyFont="1">
      <alignment horizontal="center" shrinkToFit="0" vertical="center" wrapText="0"/>
    </xf>
    <xf borderId="64" fillId="9" fontId="54" numFmtId="0" xfId="0" applyBorder="1" applyFont="1"/>
    <xf borderId="65" fillId="7" fontId="1" numFmtId="0" xfId="0" applyAlignment="1" applyBorder="1" applyFont="1">
      <alignment horizontal="left" readingOrder="0"/>
    </xf>
    <xf borderId="66" fillId="7" fontId="1" numFmtId="0" xfId="0" applyAlignment="1" applyBorder="1" applyFont="1">
      <alignment horizontal="left" readingOrder="0"/>
    </xf>
    <xf borderId="66" fillId="7" fontId="1" numFmtId="0" xfId="0" applyAlignment="1" applyBorder="1" applyFont="1">
      <alignment readingOrder="0"/>
    </xf>
    <xf borderId="67" fillId="0" fontId="3" numFmtId="0" xfId="0" applyBorder="1" applyFont="1"/>
    <xf borderId="68" fillId="27" fontId="1" numFmtId="0" xfId="0" applyAlignment="1" applyBorder="1" applyFont="1">
      <alignment shrinkToFit="0" vertical="bottom" wrapText="0"/>
    </xf>
    <xf borderId="65" fillId="7" fontId="1" numFmtId="0" xfId="0" applyAlignment="1" applyBorder="1" applyFont="1">
      <alignment readingOrder="0"/>
    </xf>
    <xf borderId="9" fillId="10" fontId="54" numFmtId="0" xfId="0" applyBorder="1" applyFont="1"/>
    <xf borderId="37" fillId="7" fontId="1" numFmtId="0" xfId="0" applyAlignment="1" applyBorder="1" applyFont="1">
      <alignment horizontal="left" readingOrder="0"/>
    </xf>
    <xf borderId="69" fillId="7" fontId="1" numFmtId="0" xfId="0" applyAlignment="1" applyBorder="1" applyFont="1">
      <alignment horizontal="left" readingOrder="0"/>
    </xf>
    <xf borderId="69" fillId="7" fontId="1" numFmtId="0" xfId="0" applyAlignment="1" applyBorder="1" applyFont="1">
      <alignment readingOrder="0"/>
    </xf>
    <xf borderId="70" fillId="0" fontId="3" numFmtId="0" xfId="0" applyBorder="1" applyFont="1"/>
    <xf borderId="37" fillId="7" fontId="1" numFmtId="0" xfId="0" applyAlignment="1" applyBorder="1" applyFont="1">
      <alignment readingOrder="0"/>
    </xf>
    <xf borderId="69" fillId="7" fontId="1" numFmtId="0" xfId="0" applyBorder="1" applyFont="1"/>
    <xf borderId="9" fillId="9" fontId="54" numFmtId="0" xfId="0" applyBorder="1" applyFont="1"/>
    <xf borderId="68" fillId="30" fontId="7" numFmtId="0" xfId="0" applyAlignment="1" applyBorder="1" applyFill="1" applyFont="1">
      <alignment vertical="bottom"/>
    </xf>
    <xf borderId="68" fillId="30" fontId="1" numFmtId="0" xfId="0" applyAlignment="1" applyBorder="1" applyFont="1">
      <alignment horizontal="left" vertical="bottom"/>
    </xf>
    <xf borderId="68" fillId="30" fontId="1" numFmtId="0" xfId="0" applyAlignment="1" applyBorder="1" applyFont="1">
      <alignment vertical="bottom"/>
    </xf>
    <xf borderId="9" fillId="12" fontId="54" numFmtId="0" xfId="0" applyBorder="1" applyFont="1"/>
    <xf borderId="9" fillId="11" fontId="54" numFmtId="0" xfId="0" applyBorder="1" applyFont="1"/>
    <xf borderId="9" fillId="6" fontId="54" numFmtId="0" xfId="0" applyBorder="1" applyFont="1"/>
    <xf borderId="9" fillId="31" fontId="54" numFmtId="0" xfId="0" applyBorder="1" applyFill="1" applyFont="1"/>
    <xf borderId="9" fillId="32" fontId="54" numFmtId="0" xfId="0" applyBorder="1" applyFill="1" applyFont="1"/>
    <xf borderId="6" fillId="2" fontId="46" numFmtId="0" xfId="0" applyAlignment="1" applyBorder="1" applyFont="1">
      <alignment horizontal="center" shrinkToFit="0" vertical="center" wrapText="1"/>
    </xf>
    <xf borderId="71" fillId="0" fontId="3" numFmtId="0" xfId="0" applyBorder="1" applyFont="1"/>
    <xf borderId="72" fillId="0" fontId="3" numFmtId="0" xfId="0" applyBorder="1" applyFont="1"/>
    <xf borderId="1" fillId="27" fontId="48" numFmtId="0" xfId="0" applyAlignment="1" applyBorder="1" applyFont="1">
      <alignment shrinkToFit="0" vertical="bottom" wrapText="0"/>
    </xf>
    <xf borderId="9" fillId="29" fontId="53" numFmtId="0" xfId="0" applyAlignment="1" applyBorder="1" applyFont="1">
      <alignment horizontal="center" shrinkToFit="0" vertical="center" wrapText="0"/>
    </xf>
    <xf borderId="73" fillId="29" fontId="53" numFmtId="0" xfId="0" applyAlignment="1" applyBorder="1" applyFont="1">
      <alignment horizontal="center" shrinkToFit="0" vertical="center" wrapText="0"/>
    </xf>
    <xf borderId="73" fillId="29" fontId="53" numFmtId="0" xfId="0" applyAlignment="1" applyBorder="1" applyFont="1">
      <alignment horizontal="center" readingOrder="0" shrinkToFit="0" vertical="center" wrapText="0"/>
    </xf>
    <xf borderId="74" fillId="29" fontId="53" numFmtId="0" xfId="0" applyAlignment="1" applyBorder="1" applyFont="1">
      <alignment horizontal="center" readingOrder="0" shrinkToFit="0" vertical="center" wrapText="0"/>
    </xf>
    <xf borderId="1" fillId="27" fontId="1" numFmtId="0" xfId="0" applyAlignment="1" applyBorder="1" applyFont="1">
      <alignment shrinkToFit="0" vertical="bottom" wrapText="0"/>
    </xf>
    <xf borderId="60" fillId="20" fontId="53" numFmtId="0" xfId="0" applyAlignment="1" applyBorder="1" applyFont="1">
      <alignment horizontal="center" readingOrder="0" shrinkToFit="0" vertical="center" wrapText="0"/>
    </xf>
    <xf borderId="62" fillId="20" fontId="53" numFmtId="0" xfId="0" applyAlignment="1" applyBorder="1" applyFont="1">
      <alignment horizontal="center" readingOrder="0" shrinkToFit="0" vertical="center" wrapText="0"/>
    </xf>
    <xf borderId="9" fillId="9" fontId="55" numFmtId="0" xfId="0" applyBorder="1" applyFont="1"/>
    <xf borderId="9" fillId="9" fontId="55" numFmtId="0" xfId="0" applyAlignment="1" applyBorder="1" applyFont="1">
      <alignment readingOrder="0"/>
    </xf>
    <xf borderId="9" fillId="9" fontId="56" numFmtId="10" xfId="0" applyAlignment="1" applyBorder="1" applyFont="1" applyNumberFormat="1">
      <alignment horizontal="center" readingOrder="0"/>
    </xf>
    <xf borderId="73" fillId="9" fontId="56" numFmtId="0" xfId="0" applyAlignment="1" applyBorder="1" applyFont="1">
      <alignment horizontal="center" readingOrder="0"/>
    </xf>
    <xf borderId="75" fillId="9" fontId="56" numFmtId="10" xfId="0" applyAlignment="1" applyBorder="1" applyFont="1" applyNumberFormat="1">
      <alignment horizontal="center" readingOrder="0"/>
    </xf>
    <xf borderId="0" fillId="9" fontId="56" numFmtId="0" xfId="0" applyAlignment="1" applyFont="1">
      <alignment horizontal="center"/>
    </xf>
    <xf borderId="64" fillId="9" fontId="55" numFmtId="0" xfId="0" applyBorder="1" applyFont="1"/>
    <xf borderId="64" fillId="9" fontId="54" numFmtId="0" xfId="0" applyAlignment="1" applyBorder="1" applyFont="1">
      <alignment horizontal="left" readingOrder="0"/>
    </xf>
    <xf borderId="64" fillId="9" fontId="54" numFmtId="10" xfId="0" applyAlignment="1" applyBorder="1" applyFont="1" applyNumberFormat="1">
      <alignment horizontal="left" readingOrder="0"/>
    </xf>
    <xf borderId="76" fillId="9" fontId="56" numFmtId="0" xfId="0" applyAlignment="1" applyBorder="1" applyFont="1">
      <alignment horizontal="center"/>
    </xf>
    <xf borderId="75" fillId="9" fontId="56" numFmtId="10" xfId="0" applyAlignment="1" applyBorder="1" applyFont="1" applyNumberFormat="1">
      <alignment horizontal="center"/>
    </xf>
    <xf borderId="9" fillId="11" fontId="55" numFmtId="0" xfId="0" applyBorder="1" applyFont="1"/>
    <xf borderId="9" fillId="11" fontId="55" numFmtId="0" xfId="0" applyAlignment="1" applyBorder="1" applyFont="1">
      <alignment readingOrder="0"/>
    </xf>
    <xf borderId="9" fillId="11" fontId="56" numFmtId="10" xfId="0" applyAlignment="1" applyBorder="1" applyFont="1" applyNumberFormat="1">
      <alignment horizontal="center" readingOrder="0"/>
    </xf>
    <xf borderId="73" fillId="11" fontId="56" numFmtId="0" xfId="0" applyAlignment="1" applyBorder="1" applyFont="1">
      <alignment horizontal="center" readingOrder="0"/>
    </xf>
    <xf borderId="77" fillId="11" fontId="56" numFmtId="10" xfId="0" applyAlignment="1" applyBorder="1" applyFont="1" applyNumberFormat="1">
      <alignment horizontal="center" readingOrder="0"/>
    </xf>
    <xf borderId="78" fillId="11" fontId="56" numFmtId="0" xfId="0" applyAlignment="1" applyBorder="1" applyFont="1">
      <alignment horizontal="center"/>
    </xf>
    <xf borderId="9" fillId="11" fontId="54" numFmtId="0" xfId="0" applyAlignment="1" applyBorder="1" applyFont="1">
      <alignment horizontal="left" readingOrder="0"/>
    </xf>
    <xf borderId="9" fillId="11" fontId="54" numFmtId="10" xfId="0" applyAlignment="1" applyBorder="1" applyFont="1" applyNumberFormat="1">
      <alignment horizontal="left" readingOrder="0"/>
    </xf>
    <xf borderId="73" fillId="11" fontId="56" numFmtId="0" xfId="0" applyAlignment="1" applyBorder="1" applyFont="1">
      <alignment horizontal="center"/>
    </xf>
    <xf borderId="77" fillId="11" fontId="56" numFmtId="10" xfId="0" applyAlignment="1" applyBorder="1" applyFont="1" applyNumberFormat="1">
      <alignment horizontal="center"/>
    </xf>
    <xf borderId="9" fillId="6" fontId="55" numFmtId="0" xfId="0" applyBorder="1" applyFont="1"/>
    <xf borderId="9" fillId="7" fontId="1" numFmtId="0" xfId="0" applyAlignment="1" applyBorder="1" applyFont="1">
      <alignment readingOrder="0"/>
    </xf>
    <xf borderId="9" fillId="6" fontId="56" numFmtId="10" xfId="0" applyAlignment="1" applyBorder="1" applyFont="1" applyNumberFormat="1">
      <alignment horizontal="center" readingOrder="0"/>
    </xf>
    <xf borderId="73" fillId="6" fontId="56" numFmtId="0" xfId="0" applyAlignment="1" applyBorder="1" applyFont="1">
      <alignment horizontal="center" readingOrder="0"/>
    </xf>
    <xf borderId="77" fillId="6" fontId="56" numFmtId="10" xfId="0" applyAlignment="1" applyBorder="1" applyFont="1" applyNumberFormat="1">
      <alignment horizontal="center" readingOrder="0"/>
    </xf>
    <xf borderId="78" fillId="6" fontId="56" numFmtId="0" xfId="0" applyAlignment="1" applyBorder="1" applyFont="1">
      <alignment horizontal="center"/>
    </xf>
    <xf borderId="9" fillId="7" fontId="7" numFmtId="0" xfId="0" applyAlignment="1" applyBorder="1" applyFont="1">
      <alignment horizontal="left" readingOrder="0"/>
    </xf>
    <xf borderId="9" fillId="6" fontId="54" numFmtId="10" xfId="0" applyAlignment="1" applyBorder="1" applyFont="1" applyNumberFormat="1">
      <alignment horizontal="left" readingOrder="0"/>
    </xf>
    <xf borderId="73" fillId="6" fontId="56" numFmtId="0" xfId="0" applyAlignment="1" applyBorder="1" applyFont="1">
      <alignment horizontal="center"/>
    </xf>
    <xf borderId="77" fillId="6" fontId="56" numFmtId="10" xfId="0" applyAlignment="1" applyBorder="1" applyFont="1" applyNumberFormat="1">
      <alignment horizontal="center"/>
    </xf>
    <xf borderId="9" fillId="14" fontId="55" numFmtId="0" xfId="0" applyBorder="1" applyFont="1"/>
    <xf borderId="9" fillId="14" fontId="55" numFmtId="0" xfId="0" applyAlignment="1" applyBorder="1" applyFont="1">
      <alignment readingOrder="0"/>
    </xf>
    <xf borderId="9" fillId="14" fontId="56" numFmtId="10" xfId="0" applyAlignment="1" applyBorder="1" applyFont="1" applyNumberFormat="1">
      <alignment horizontal="center" readingOrder="0"/>
    </xf>
    <xf borderId="73" fillId="14" fontId="56" numFmtId="0" xfId="0" applyAlignment="1" applyBorder="1" applyFont="1">
      <alignment horizontal="center" readingOrder="0"/>
    </xf>
    <xf borderId="73" fillId="14" fontId="56" numFmtId="10" xfId="0" applyAlignment="1" applyBorder="1" applyFont="1" applyNumberFormat="1">
      <alignment horizontal="center" readingOrder="0"/>
    </xf>
    <xf borderId="74" fillId="14" fontId="56" numFmtId="0" xfId="0" applyAlignment="1" applyBorder="1" applyFont="1">
      <alignment horizontal="center"/>
    </xf>
    <xf borderId="9" fillId="14" fontId="54" numFmtId="0" xfId="0" applyAlignment="1" applyBorder="1" applyFont="1">
      <alignment horizontal="left" readingOrder="0"/>
    </xf>
    <xf borderId="9" fillId="14" fontId="54" numFmtId="10" xfId="0" applyAlignment="1" applyBorder="1" applyFont="1" applyNumberFormat="1">
      <alignment horizontal="left" readingOrder="0"/>
    </xf>
    <xf borderId="73" fillId="14" fontId="56" numFmtId="0" xfId="0" applyAlignment="1" applyBorder="1" applyFont="1">
      <alignment horizontal="center"/>
    </xf>
    <xf borderId="73" fillId="14" fontId="56" numFmtId="10" xfId="0" applyAlignment="1" applyBorder="1" applyFont="1" applyNumberFormat="1">
      <alignment horizontal="center"/>
    </xf>
    <xf borderId="73" fillId="2" fontId="46" numFmtId="0" xfId="0" applyAlignment="1" applyBorder="1" applyFont="1">
      <alignment horizontal="center" shrinkToFit="0" vertical="center" wrapText="1"/>
    </xf>
    <xf borderId="74" fillId="0" fontId="3" numFmtId="0" xfId="0" applyBorder="1" applyFont="1"/>
    <xf borderId="79" fillId="0" fontId="3" numFmtId="0" xfId="0" applyBorder="1" applyFont="1"/>
    <xf borderId="73" fillId="26" fontId="49" numFmtId="0" xfId="0" applyAlignment="1" applyBorder="1" applyFont="1">
      <alignment horizontal="center" shrinkToFit="0" vertical="center" wrapText="1"/>
    </xf>
    <xf borderId="9" fillId="29" fontId="53" numFmtId="0" xfId="0" applyAlignment="1" applyBorder="1" applyFont="1">
      <alignment horizontal="center" shrinkToFit="0" vertical="center" wrapText="1"/>
    </xf>
    <xf borderId="63" fillId="20" fontId="53" numFmtId="0" xfId="0" applyAlignment="1" applyBorder="1" applyFont="1">
      <alignment horizontal="center" shrinkToFit="0" vertical="center" wrapText="1"/>
    </xf>
    <xf borderId="63" fillId="20" fontId="53" numFmtId="0" xfId="0" applyAlignment="1" applyBorder="1" applyFont="1">
      <alignment horizontal="center" readingOrder="0" shrinkToFit="0" vertical="center" wrapText="1"/>
    </xf>
    <xf borderId="60" fillId="20" fontId="1" numFmtId="0" xfId="0" applyAlignment="1" applyBorder="1" applyFont="1">
      <alignment shrinkToFit="0" vertical="bottom" wrapText="0"/>
    </xf>
    <xf borderId="9" fillId="0" fontId="56" numFmtId="0" xfId="0" applyAlignment="1" applyBorder="1" applyFont="1">
      <alignment readingOrder="0"/>
    </xf>
    <xf borderId="9" fillId="7" fontId="1" numFmtId="0" xfId="0" applyAlignment="1" applyBorder="1" applyFont="1">
      <alignment horizontal="left" readingOrder="0"/>
    </xf>
    <xf borderId="73" fillId="0" fontId="1" numFmtId="165" xfId="0" applyAlignment="1" applyBorder="1" applyFont="1" applyNumberFormat="1">
      <alignment horizontal="left" readingOrder="0"/>
    </xf>
    <xf borderId="73" fillId="0" fontId="1" numFmtId="0" xfId="0" applyBorder="1" applyFont="1"/>
    <xf borderId="73" fillId="0" fontId="1" numFmtId="10" xfId="0" applyAlignment="1" applyBorder="1" applyFont="1" applyNumberFormat="1">
      <alignment horizontal="left" readingOrder="0"/>
    </xf>
    <xf borderId="0" fillId="27" fontId="57" numFmtId="0" xfId="0" applyFont="1"/>
    <xf borderId="0" fillId="0" fontId="57" numFmtId="0" xfId="0" applyAlignment="1" applyFont="1">
      <alignment readingOrder="0"/>
    </xf>
    <xf borderId="0" fillId="0" fontId="57" numFmtId="10" xfId="0" applyAlignment="1" applyFont="1" applyNumberFormat="1">
      <alignment readingOrder="0"/>
    </xf>
    <xf borderId="73" fillId="29" fontId="53" numFmtId="165" xfId="0" applyAlignment="1" applyBorder="1" applyFont="1" applyNumberFormat="1">
      <alignment horizontal="center" readingOrder="0" shrinkToFit="0" vertical="center" wrapText="1"/>
    </xf>
    <xf borderId="80" fillId="29" fontId="53" numFmtId="0" xfId="0" applyAlignment="1" applyBorder="1" applyFont="1">
      <alignment horizontal="center" readingOrder="0" shrinkToFit="0" vertical="center" wrapText="1"/>
    </xf>
    <xf borderId="81" fillId="0" fontId="3" numFmtId="0" xfId="0" applyBorder="1" applyFont="1"/>
    <xf borderId="9" fillId="7" fontId="1" numFmtId="166" xfId="0" applyAlignment="1" applyBorder="1" applyFont="1" applyNumberFormat="1">
      <alignment horizontal="left" readingOrder="0"/>
    </xf>
    <xf borderId="73" fillId="33" fontId="1" numFmtId="0" xfId="0" applyAlignment="1" applyBorder="1" applyFill="1" applyFont="1">
      <alignment horizontal="left" readingOrder="0"/>
    </xf>
    <xf borderId="76" fillId="0" fontId="1" numFmtId="0" xfId="0" applyBorder="1" applyFont="1"/>
    <xf borderId="82" fillId="0" fontId="3" numFmtId="0" xfId="0" applyBorder="1" applyFont="1"/>
    <xf borderId="73" fillId="34" fontId="1" numFmtId="165" xfId="0" applyAlignment="1" applyBorder="1" applyFill="1" applyFont="1" applyNumberFormat="1">
      <alignment horizontal="left" readingOrder="0"/>
    </xf>
    <xf borderId="73" fillId="33" fontId="1" numFmtId="165" xfId="0" applyAlignment="1" applyBorder="1" applyFont="1" applyNumberFormat="1">
      <alignment horizontal="left" readingOrder="0"/>
    </xf>
    <xf borderId="73" fillId="35" fontId="1" numFmtId="165" xfId="0" applyAlignment="1" applyBorder="1" applyFill="1" applyFont="1" applyNumberFormat="1">
      <alignment horizontal="left" readingOrder="0"/>
    </xf>
    <xf borderId="2" fillId="27" fontId="1" numFmtId="0" xfId="0" applyAlignment="1" applyBorder="1" applyFont="1">
      <alignment shrinkToFit="0" vertical="bottom" wrapText="0"/>
    </xf>
    <xf borderId="83" fillId="25" fontId="46" numFmtId="0" xfId="0" applyAlignment="1" applyBorder="1" applyFont="1">
      <alignment horizontal="center" shrinkToFit="0" vertical="center" wrapText="0"/>
    </xf>
    <xf borderId="84" fillId="0" fontId="3" numFmtId="0" xfId="0" applyBorder="1" applyFont="1"/>
    <xf borderId="85" fillId="0" fontId="3" numFmtId="0" xfId="0" applyBorder="1" applyFont="1"/>
    <xf borderId="83" fillId="36" fontId="58" numFmtId="0" xfId="0" applyAlignment="1" applyBorder="1" applyFill="1" applyFont="1">
      <alignment horizontal="left" shrinkToFit="0" vertical="center" wrapText="1"/>
    </xf>
    <xf borderId="38" fillId="29" fontId="59" numFmtId="0" xfId="0" applyAlignment="1" applyBorder="1" applyFont="1">
      <alignment horizontal="center" shrinkToFit="0" vertical="center" wrapText="1"/>
    </xf>
    <xf borderId="9" fillId="29" fontId="59" numFmtId="0" xfId="0" applyAlignment="1" applyBorder="1" applyFont="1">
      <alignment horizontal="center" shrinkToFit="0" vertical="center" wrapText="1"/>
    </xf>
    <xf borderId="9" fillId="26" fontId="59" numFmtId="0" xfId="0" applyAlignment="1" applyBorder="1" applyFont="1">
      <alignment horizontal="center" readingOrder="0" shrinkToFit="0" vertical="center" wrapText="1"/>
    </xf>
    <xf borderId="9" fillId="26" fontId="59" numFmtId="0" xfId="0" applyAlignment="1" applyBorder="1" applyFont="1">
      <alignment horizontal="center" shrinkToFit="0" vertical="center" wrapText="1"/>
    </xf>
    <xf borderId="37" fillId="26" fontId="59" numFmtId="0" xfId="0" applyAlignment="1" applyBorder="1" applyFont="1">
      <alignment horizontal="center" shrinkToFit="0" vertical="center" wrapText="1"/>
    </xf>
    <xf borderId="38" fillId="28" fontId="59" numFmtId="0" xfId="0" applyAlignment="1" applyBorder="1" applyFont="1">
      <alignment horizontal="center" shrinkToFit="0" vertical="center" wrapText="1"/>
    </xf>
    <xf borderId="9" fillId="28" fontId="59" numFmtId="0" xfId="0" applyAlignment="1" applyBorder="1" applyFont="1">
      <alignment horizontal="center" shrinkToFit="0" vertical="center" wrapText="1"/>
    </xf>
    <xf borderId="9" fillId="20" fontId="59" numFmtId="0" xfId="0" applyAlignment="1" applyBorder="1" applyFont="1">
      <alignment horizontal="center" readingOrder="0" shrinkToFit="0" vertical="center" wrapText="1"/>
    </xf>
    <xf borderId="9" fillId="37" fontId="59" numFmtId="0" xfId="0" applyAlignment="1" applyBorder="1" applyFill="1" applyFont="1">
      <alignment horizontal="center" readingOrder="0" shrinkToFit="0" vertical="center" wrapText="1"/>
    </xf>
    <xf borderId="37" fillId="37" fontId="59" numFmtId="0" xfId="0" applyAlignment="1" applyBorder="1" applyFont="1">
      <alignment horizontal="center" readingOrder="0" shrinkToFit="0" vertical="center" wrapText="1"/>
    </xf>
    <xf borderId="38" fillId="38" fontId="53" numFmtId="0" xfId="0" applyAlignment="1" applyBorder="1" applyFill="1" applyFont="1">
      <alignment horizontal="center" shrinkToFit="0" vertical="center" wrapText="0"/>
    </xf>
    <xf borderId="9" fillId="23" fontId="60" numFmtId="0" xfId="0" applyAlignment="1" applyBorder="1" applyFont="1">
      <alignment shrinkToFit="0" vertical="center" wrapText="1"/>
    </xf>
    <xf borderId="9" fillId="23" fontId="61" numFmtId="0" xfId="0" applyAlignment="1" applyBorder="1" applyFont="1">
      <alignment shrinkToFit="0" vertical="center" wrapText="1"/>
    </xf>
    <xf borderId="37" fillId="7" fontId="1" numFmtId="0" xfId="0" applyAlignment="1" applyBorder="1" applyFont="1">
      <alignment readingOrder="0" vertical="center"/>
    </xf>
    <xf borderId="9" fillId="23" fontId="61" numFmtId="0" xfId="0" applyAlignment="1" applyBorder="1" applyFont="1">
      <alignment horizontal="center" shrinkToFit="0" vertical="center" wrapText="1"/>
    </xf>
    <xf borderId="37" fillId="7" fontId="1" numFmtId="0" xfId="0" applyAlignment="1" applyBorder="1" applyFont="1">
      <alignment readingOrder="0" shrinkToFit="0" vertical="center" wrapText="1"/>
    </xf>
    <xf borderId="38" fillId="20" fontId="53" numFmtId="0" xfId="0" applyAlignment="1" applyBorder="1" applyFont="1">
      <alignment horizontal="center" shrinkToFit="0" vertical="center" wrapText="0"/>
    </xf>
    <xf borderId="9" fillId="22" fontId="60" numFmtId="0" xfId="0" applyAlignment="1" applyBorder="1" applyFont="1">
      <alignment shrinkToFit="0" vertical="center" wrapText="1"/>
    </xf>
    <xf borderId="64" fillId="22" fontId="61" numFmtId="0" xfId="0" applyAlignment="1" applyBorder="1" applyFont="1">
      <alignment shrinkToFit="0" vertical="center" wrapText="1"/>
    </xf>
    <xf borderId="65" fillId="7" fontId="1" numFmtId="0" xfId="0" applyAlignment="1" applyBorder="1" applyFont="1">
      <alignment readingOrder="0" vertical="center"/>
    </xf>
    <xf borderId="64" fillId="22" fontId="61" numFmtId="0" xfId="0" applyAlignment="1" applyBorder="1" applyFont="1">
      <alignment horizontal="center" shrinkToFit="0" vertical="center" wrapText="1"/>
    </xf>
    <xf borderId="9" fillId="5" fontId="60" numFmtId="0" xfId="0" applyAlignment="1" applyBorder="1" applyFont="1">
      <alignment shrinkToFit="0" vertical="center" wrapText="1"/>
    </xf>
    <xf borderId="9" fillId="5" fontId="61" numFmtId="0" xfId="0" applyAlignment="1" applyBorder="1" applyFont="1">
      <alignment shrinkToFit="0" vertical="center" wrapText="1"/>
    </xf>
    <xf borderId="9" fillId="5" fontId="61" numFmtId="0" xfId="0" applyAlignment="1" applyBorder="1" applyFont="1">
      <alignment horizontal="center" shrinkToFit="0" vertical="center" wrapText="1"/>
    </xf>
    <xf borderId="9" fillId="22" fontId="61" numFmtId="0" xfId="0" applyAlignment="1" applyBorder="1" applyFont="1">
      <alignment shrinkToFit="0" vertical="center" wrapText="1"/>
    </xf>
    <xf borderId="9" fillId="22" fontId="61" numFmtId="0" xfId="0" applyAlignment="1" applyBorder="1" applyFont="1">
      <alignment horizontal="center" shrinkToFit="0" vertical="center" wrapText="1"/>
    </xf>
    <xf borderId="86" fillId="38" fontId="53" numFmtId="0" xfId="0" applyAlignment="1" applyBorder="1" applyFont="1">
      <alignment horizontal="center" shrinkToFit="0" vertical="center" wrapText="0"/>
    </xf>
    <xf borderId="86" fillId="20" fontId="53" numFmtId="0" xfId="0" applyAlignment="1" applyBorder="1" applyFont="1">
      <alignment horizontal="center" shrinkToFit="0" vertical="center" wrapText="0"/>
    </xf>
    <xf borderId="68" fillId="38" fontId="53" numFmtId="0" xfId="0" applyAlignment="1" applyBorder="1" applyFont="1">
      <alignment horizontal="center" shrinkToFit="0" vertical="center" wrapText="0"/>
    </xf>
    <xf borderId="68" fillId="20" fontId="53" numFmtId="0" xfId="0" applyAlignment="1" applyBorder="1" applyFont="1">
      <alignment horizontal="center" shrinkToFit="0" vertical="center" wrapText="0"/>
    </xf>
    <xf borderId="87" fillId="38" fontId="53" numFmtId="0" xfId="0" applyAlignment="1" applyBorder="1" applyFont="1">
      <alignment horizontal="center" shrinkToFit="0" vertical="center" wrapText="0"/>
    </xf>
    <xf borderId="87" fillId="20" fontId="53" numFmtId="0" xfId="0" applyAlignment="1" applyBorder="1" applyFont="1">
      <alignment horizontal="center" shrinkToFit="0" vertical="center" wrapText="0"/>
    </xf>
    <xf borderId="37" fillId="7" fontId="1" numFmtId="0" xfId="0" applyAlignment="1" applyBorder="1" applyFont="1">
      <alignment vertical="center"/>
    </xf>
    <xf borderId="88" fillId="38" fontId="53" numFmtId="0" xfId="0" applyAlignment="1" applyBorder="1" applyFont="1">
      <alignment horizontal="center" shrinkToFit="0" vertical="center" wrapText="0"/>
    </xf>
    <xf borderId="88" fillId="20" fontId="53" numFmtId="0" xfId="0" applyAlignment="1" applyBorder="1" applyFont="1">
      <alignment horizontal="center" shrinkToFit="0" vertical="center" wrapText="0"/>
    </xf>
    <xf borderId="3" fillId="2" fontId="53" numFmtId="0" xfId="0" applyAlignment="1" applyBorder="1" applyFont="1">
      <alignment horizontal="center" shrinkToFit="0" vertical="center" wrapText="0"/>
    </xf>
    <xf borderId="89" fillId="0" fontId="3" numFmtId="0" xfId="0" applyBorder="1" applyFont="1"/>
    <xf borderId="68" fillId="26" fontId="53" numFmtId="0" xfId="0" applyAlignment="1" applyBorder="1" applyFont="1">
      <alignment horizontal="center" shrinkToFit="0" vertical="center" wrapText="0"/>
    </xf>
    <xf borderId="1" fillId="3" fontId="53" numFmtId="0" xfId="0" applyAlignment="1" applyBorder="1" applyFont="1">
      <alignment horizontal="center" shrinkToFit="0" vertical="center" wrapText="0"/>
    </xf>
    <xf borderId="3" fillId="28" fontId="53" numFmtId="0" xfId="0" applyAlignment="1" applyBorder="1" applyFont="1">
      <alignment horizontal="center" shrinkToFit="0" vertical="center" wrapText="0"/>
    </xf>
    <xf borderId="1" fillId="37" fontId="53" numFmtId="0" xfId="0" applyAlignment="1" applyBorder="1" applyFont="1">
      <alignment horizontal="center" shrinkToFit="0" vertical="center" wrapText="0"/>
    </xf>
    <xf borderId="90" fillId="7" fontId="1" numFmtId="0" xfId="0" applyAlignment="1" applyBorder="1" applyFont="1">
      <alignment horizontal="left" shrinkToFit="0" vertical="center" wrapText="1"/>
    </xf>
    <xf borderId="69" fillId="25" fontId="46" numFmtId="0" xfId="0" applyAlignment="1" applyBorder="1" applyFont="1">
      <alignment horizontal="center" shrinkToFit="0" vertical="center" wrapText="0"/>
    </xf>
    <xf borderId="91" fillId="0" fontId="3" numFmtId="0" xfId="0" applyBorder="1" applyFont="1"/>
    <xf borderId="92" fillId="26" fontId="49" numFmtId="0" xfId="0" applyAlignment="1" applyBorder="1" applyFont="1">
      <alignment horizontal="center" shrinkToFit="0" vertical="center" wrapText="1"/>
    </xf>
    <xf borderId="93" fillId="0" fontId="3" numFmtId="0" xfId="0" applyBorder="1" applyFont="1"/>
    <xf borderId="94" fillId="0" fontId="3" numFmtId="0" xfId="0" applyBorder="1" applyFont="1"/>
    <xf borderId="68" fillId="27" fontId="48" numFmtId="0" xfId="0" applyAlignment="1" applyBorder="1" applyFont="1">
      <alignment shrinkToFit="0" vertical="bottom" wrapText="0"/>
    </xf>
    <xf borderId="1" fillId="28" fontId="49" numFmtId="0" xfId="0" applyAlignment="1" applyBorder="1" applyFont="1">
      <alignment horizontal="center" shrinkToFit="0" vertical="center" wrapText="1"/>
    </xf>
    <xf borderId="95" fillId="6" fontId="62" numFmtId="0" xfId="0" applyAlignment="1" applyBorder="1" applyFont="1">
      <alignment horizontal="left" shrinkToFit="0" vertical="center" wrapText="0"/>
    </xf>
    <xf borderId="96" fillId="0" fontId="3" numFmtId="0" xfId="0" applyBorder="1" applyFont="1"/>
    <xf borderId="97" fillId="0" fontId="3" numFmtId="0" xfId="0" applyBorder="1" applyFont="1"/>
    <xf borderId="1" fillId="39" fontId="63" numFmtId="0" xfId="0" applyAlignment="1" applyBorder="1" applyFill="1" applyFont="1">
      <alignment horizontal="left" shrinkToFit="0" vertical="center" wrapText="0"/>
    </xf>
    <xf borderId="0" fillId="6" fontId="64" numFmtId="0" xfId="0" applyAlignment="1" applyFont="1">
      <alignment horizontal="left" shrinkToFit="0" vertical="center" wrapText="1"/>
    </xf>
    <xf borderId="1" fillId="39" fontId="64" numFmtId="0" xfId="0" applyAlignment="1" applyBorder="1" applyFont="1">
      <alignment horizontal="left" shrinkToFit="0" vertical="center" wrapText="1"/>
    </xf>
    <xf borderId="98" fillId="6" fontId="7" numFmtId="0" xfId="0" applyAlignment="1" applyBorder="1" applyFont="1">
      <alignment horizontal="left" readingOrder="0" shrinkToFit="0" vertical="center" wrapText="1"/>
    </xf>
    <xf borderId="99" fillId="0" fontId="3" numFmtId="0" xfId="0" applyBorder="1" applyFont="1"/>
    <xf borderId="2" fillId="27" fontId="7" numFmtId="0" xfId="0" applyAlignment="1" applyBorder="1" applyFont="1">
      <alignment shrinkToFit="0" vertical="center" wrapText="1"/>
    </xf>
    <xf borderId="100" fillId="39" fontId="7" numFmtId="0" xfId="0" applyAlignment="1" applyBorder="1" applyFont="1">
      <alignment readingOrder="0" shrinkToFit="0" vertical="center" wrapText="1"/>
    </xf>
    <xf borderId="101" fillId="0" fontId="3" numFmtId="0" xfId="0" applyBorder="1" applyFont="1"/>
    <xf borderId="102" fillId="0" fontId="3" numFmtId="0" xfId="0" applyBorder="1" applyFont="1"/>
    <xf borderId="98" fillId="0" fontId="3" numFmtId="0" xfId="0" applyBorder="1" applyFont="1"/>
    <xf borderId="103" fillId="0" fontId="3" numFmtId="0" xfId="0" applyBorder="1" applyFont="1"/>
    <xf borderId="104" fillId="0" fontId="3" numFmtId="0" xfId="0" applyBorder="1" applyFont="1"/>
    <xf borderId="105" fillId="0" fontId="3" numFmtId="0" xfId="0" applyBorder="1" applyFont="1"/>
    <xf borderId="106" fillId="0" fontId="3" numFmtId="0" xfId="0" applyBorder="1" applyFont="1"/>
    <xf borderId="107" fillId="0" fontId="3" numFmtId="0" xfId="0" applyBorder="1" applyFont="1"/>
    <xf borderId="108" fillId="0" fontId="3" numFmtId="0" xfId="0" applyBorder="1" applyFont="1"/>
    <xf borderId="109" fillId="0" fontId="3" numFmtId="0" xfId="0" applyBorder="1" applyFont="1"/>
    <xf borderId="110" fillId="0" fontId="3" numFmtId="0" xfId="0" applyBorder="1" applyFont="1"/>
    <xf borderId="57" fillId="16" fontId="62" numFmtId="0" xfId="0" applyAlignment="1" applyBorder="1" applyFont="1">
      <alignment horizontal="left" shrinkToFit="0" vertical="center" wrapText="0"/>
    </xf>
    <xf borderId="1" fillId="24" fontId="63" numFmtId="0" xfId="0" applyAlignment="1" applyBorder="1" applyFont="1">
      <alignment horizontal="left" shrinkToFit="0" vertical="center" wrapText="0"/>
    </xf>
    <xf borderId="0" fillId="16" fontId="64" numFmtId="0" xfId="0" applyAlignment="1" applyFont="1">
      <alignment horizontal="left" shrinkToFit="0" vertical="center" wrapText="1"/>
    </xf>
    <xf borderId="1" fillId="24" fontId="64" numFmtId="0" xfId="0" applyAlignment="1" applyBorder="1" applyFont="1">
      <alignment horizontal="left" shrinkToFit="0" vertical="center" wrapText="1"/>
    </xf>
    <xf borderId="111" fillId="16" fontId="7" numFmtId="0" xfId="0" applyAlignment="1" applyBorder="1" applyFont="1">
      <alignment horizontal="left" readingOrder="0" shrinkToFit="0" vertical="center" wrapText="1"/>
    </xf>
    <xf borderId="68" fillId="27" fontId="7" numFmtId="0" xfId="0" applyAlignment="1" applyBorder="1" applyFont="1">
      <alignment shrinkToFit="0" vertical="center" wrapText="1"/>
    </xf>
    <xf borderId="100" fillId="24" fontId="7" numFmtId="0" xfId="0" applyAlignment="1" applyBorder="1" applyFont="1">
      <alignment readingOrder="0" shrinkToFit="0" vertical="center" wrapText="1"/>
    </xf>
    <xf borderId="111" fillId="0" fontId="3" numFmtId="0" xfId="0" applyBorder="1" applyFont="1"/>
    <xf borderId="66" fillId="0" fontId="3" numFmtId="0" xfId="0" applyBorder="1" applyFont="1"/>
    <xf borderId="112" fillId="0" fontId="3" numFmtId="0" xfId="0" applyBorder="1" applyFont="1"/>
    <xf borderId="1" fillId="11" fontId="62" numFmtId="0" xfId="0" applyAlignment="1" applyBorder="1" applyFont="1">
      <alignment horizontal="left" shrinkToFit="0" vertical="center" wrapText="0"/>
    </xf>
    <xf borderId="1" fillId="40" fontId="63" numFmtId="0" xfId="0" applyAlignment="1" applyBorder="1" applyFill="1" applyFont="1">
      <alignment horizontal="left" shrinkToFit="0" vertical="center" wrapText="0"/>
    </xf>
    <xf borderId="1" fillId="11" fontId="64" numFmtId="0" xfId="0" applyAlignment="1" applyBorder="1" applyFont="1">
      <alignment horizontal="left" shrinkToFit="0" vertical="center" wrapText="1"/>
    </xf>
    <xf borderId="1" fillId="40" fontId="64" numFmtId="0" xfId="0" applyAlignment="1" applyBorder="1" applyFont="1">
      <alignment horizontal="left" shrinkToFit="0" vertical="center" wrapText="1"/>
    </xf>
    <xf borderId="100" fillId="11" fontId="7" numFmtId="0" xfId="0" applyAlignment="1" applyBorder="1" applyFont="1">
      <alignment readingOrder="0" shrinkToFit="0" vertical="center" wrapText="1"/>
    </xf>
    <xf borderId="100" fillId="40" fontId="7" numFmtId="0" xfId="0" applyAlignment="1" applyBorder="1" applyFont="1">
      <alignment readingOrder="0" shrinkToFit="0" vertical="center" wrapText="1"/>
    </xf>
    <xf borderId="0" fillId="0" fontId="65" numFmtId="0" xfId="0" applyAlignment="1" applyFont="1">
      <alignment shrinkToFit="0" vertical="bottom" wrapText="0"/>
    </xf>
    <xf borderId="1" fillId="2" fontId="66" numFmtId="0" xfId="0" applyAlignment="1" applyBorder="1" applyFont="1">
      <alignment horizontal="center" shrinkToFit="0" vertical="center" wrapText="0"/>
    </xf>
    <xf borderId="0" fillId="0" fontId="67" numFmtId="0" xfId="0" applyFont="1"/>
    <xf borderId="66" fillId="7" fontId="1" numFmtId="0" xfId="0" applyBorder="1" applyFont="1"/>
    <xf borderId="70" fillId="7" fontId="1" numFmtId="0" xfId="0" applyBorder="1" applyFont="1"/>
    <xf borderId="113" fillId="30" fontId="1" numFmtId="0" xfId="0" applyAlignment="1" applyBorder="1" applyFont="1">
      <alignment horizontal="left" vertical="bottom"/>
    </xf>
    <xf borderId="113" fillId="30" fontId="1" numFmtId="0" xfId="0" applyAlignment="1" applyBorder="1" applyFont="1">
      <alignment vertical="bottom"/>
    </xf>
    <xf borderId="9" fillId="29" fontId="59" numFmtId="0" xfId="0" applyAlignment="1" applyBorder="1" applyFont="1">
      <alignment horizontal="center" shrinkToFit="0" vertical="center" wrapText="0"/>
    </xf>
    <xf borderId="73" fillId="29" fontId="59" numFmtId="0" xfId="0" applyAlignment="1" applyBorder="1" applyFont="1">
      <alignment horizontal="center" shrinkToFit="0" vertical="center" wrapText="0"/>
    </xf>
    <xf borderId="73" fillId="29" fontId="59" numFmtId="0" xfId="0" applyAlignment="1" applyBorder="1" applyFont="1">
      <alignment horizontal="center" readingOrder="0" shrinkToFit="0" vertical="center" wrapText="0"/>
    </xf>
    <xf borderId="74" fillId="29" fontId="59" numFmtId="0" xfId="0" applyAlignment="1" applyBorder="1" applyFont="1">
      <alignment horizontal="center" readingOrder="0" shrinkToFit="0" vertical="center" wrapText="0"/>
    </xf>
    <xf borderId="63" fillId="20" fontId="59" numFmtId="0" xfId="0" applyAlignment="1" applyBorder="1" applyFont="1">
      <alignment horizontal="center" shrinkToFit="0" vertical="center" wrapText="0"/>
    </xf>
    <xf borderId="60" fillId="20" fontId="59" numFmtId="0" xfId="0" applyAlignment="1" applyBorder="1" applyFont="1">
      <alignment horizontal="center" readingOrder="0" shrinkToFit="0" vertical="center" wrapText="0"/>
    </xf>
    <xf borderId="62" fillId="20" fontId="59" numFmtId="0" xfId="0" applyAlignment="1" applyBorder="1" applyFont="1">
      <alignment horizontal="center" readingOrder="0" shrinkToFit="0" vertical="center" wrapText="0"/>
    </xf>
    <xf borderId="0" fillId="0" fontId="0" numFmtId="0" xfId="0" applyFont="1"/>
    <xf borderId="9" fillId="9" fontId="56" numFmtId="0" xfId="0" applyAlignment="1" applyBorder="1" applyFont="1">
      <alignment horizontal="center"/>
    </xf>
    <xf borderId="73" fillId="9" fontId="56" numFmtId="0" xfId="0" applyAlignment="1" applyBorder="1" applyFont="1">
      <alignment horizontal="center"/>
    </xf>
    <xf borderId="64" fillId="9" fontId="56" numFmtId="10" xfId="0" applyAlignment="1" applyBorder="1" applyFont="1" applyNumberFormat="1">
      <alignment horizontal="center" readingOrder="0"/>
    </xf>
    <xf borderId="9" fillId="11" fontId="56" numFmtId="0" xfId="0" applyAlignment="1" applyBorder="1" applyFont="1">
      <alignment horizontal="center"/>
    </xf>
    <xf borderId="9" fillId="6" fontId="56" numFmtId="0" xfId="0" applyAlignment="1" applyBorder="1" applyFont="1">
      <alignment horizontal="center"/>
    </xf>
    <xf borderId="9" fillId="14" fontId="56" numFmtId="0" xfId="0" applyAlignment="1" applyBorder="1" applyFont="1">
      <alignment horizontal="center"/>
    </xf>
    <xf borderId="73" fillId="23" fontId="1" numFmtId="10" xfId="0" applyAlignment="1" applyBorder="1" applyFont="1" applyNumberFormat="1">
      <alignment horizontal="left" readingOrder="0"/>
    </xf>
    <xf borderId="0" fillId="27" fontId="1" numFmtId="0" xfId="0" applyAlignment="1" applyFont="1">
      <alignment shrinkToFit="0" vertical="bottom" wrapText="0"/>
    </xf>
    <xf borderId="0" fillId="0" fontId="1" numFmtId="0" xfId="0" applyAlignment="1" applyFont="1">
      <alignment readingOrder="0" shrinkToFit="0" vertical="bottom" wrapText="0"/>
    </xf>
    <xf borderId="0" fillId="0" fontId="1" numFmtId="10" xfId="0" applyAlignment="1" applyFont="1" applyNumberFormat="1">
      <alignment readingOrder="0" shrinkToFit="0" vertical="bottom" wrapText="0"/>
    </xf>
    <xf borderId="73" fillId="29" fontId="53" numFmtId="0" xfId="0" applyAlignment="1" applyBorder="1" applyFont="1">
      <alignment horizontal="center" readingOrder="0" shrinkToFit="0" vertical="center" wrapText="1"/>
    </xf>
    <xf borderId="9" fillId="0" fontId="56" numFmtId="0" xfId="0" applyAlignment="1" applyBorder="1" applyFont="1">
      <alignment horizontal="left" readingOrder="0"/>
    </xf>
    <xf borderId="0" fillId="6" fontId="68" numFmtId="0" xfId="0" applyAlignment="1" applyFont="1">
      <alignment horizontal="left" shrinkToFit="0" vertical="center" wrapText="1"/>
    </xf>
    <xf borderId="1" fillId="39" fontId="68" numFmtId="0" xfId="0" applyAlignment="1" applyBorder="1" applyFont="1">
      <alignment horizontal="left" shrinkToFit="0" vertical="center" wrapText="1"/>
    </xf>
    <xf borderId="37" fillId="7" fontId="1" numFmtId="0" xfId="0" applyAlignment="1" applyBorder="1" applyFont="1">
      <alignment horizontal="left" readingOrder="0" shrinkToFit="0" vertical="center" wrapText="0"/>
    </xf>
    <xf borderId="64" fillId="9" fontId="54" numFmtId="10" xfId="0" applyAlignment="1" applyBorder="1" applyFont="1" applyNumberFormat="1">
      <alignment horizontal="center" readingOrder="0"/>
    </xf>
    <xf borderId="9" fillId="11" fontId="54" numFmtId="10" xfId="0" applyAlignment="1" applyBorder="1" applyFont="1" applyNumberFormat="1">
      <alignment horizontal="center" readingOrder="0"/>
    </xf>
    <xf borderId="9" fillId="6" fontId="54" numFmtId="10" xfId="0" applyAlignment="1" applyBorder="1" applyFont="1" applyNumberFormat="1">
      <alignment horizontal="center" readingOrder="0"/>
    </xf>
    <xf borderId="9" fillId="14" fontId="54" numFmtId="10" xfId="0" applyAlignment="1" applyBorder="1" applyFont="1" applyNumberFormat="1">
      <alignment horizontal="center" readingOrder="0"/>
    </xf>
    <xf borderId="0" fillId="0" fontId="1" numFmtId="0" xfId="0" applyAlignment="1" applyFont="1">
      <alignment horizontal="left" shrinkToFit="0" vertical="bottom" wrapText="0"/>
    </xf>
    <xf borderId="73" fillId="0" fontId="1" numFmtId="0" xfId="0" applyAlignment="1" applyBorder="1" applyFont="1">
      <alignment horizontal="left"/>
    </xf>
    <xf borderId="68" fillId="27" fontId="1" numFmtId="0" xfId="0" applyAlignment="1" applyBorder="1" applyFont="1">
      <alignment horizontal="left" shrinkToFit="0" vertical="bottom" wrapText="0"/>
    </xf>
    <xf borderId="0" fillId="0" fontId="57" numFmtId="0" xfId="0" applyAlignment="1" applyFont="1">
      <alignment horizontal="left"/>
    </xf>
    <xf borderId="0" fillId="27" fontId="1" numFmtId="0" xfId="0" applyAlignment="1" applyFont="1">
      <alignment horizontal="left" shrinkToFit="0" vertical="bottom" wrapText="0"/>
    </xf>
    <xf borderId="60" fillId="20" fontId="53" numFmtId="0" xfId="0" applyAlignment="1" applyBorder="1" applyFont="1">
      <alignment horizontal="center" readingOrder="0" shrinkToFit="0" vertical="center" wrapText="1"/>
    </xf>
    <xf borderId="76" fillId="0" fontId="1" numFmtId="0" xfId="0" applyAlignment="1" applyBorder="1" applyFont="1">
      <alignment horizontal="left"/>
    </xf>
    <xf borderId="98" fillId="6" fontId="69" numFmtId="0" xfId="0" applyAlignment="1" applyBorder="1" applyFont="1">
      <alignment horizontal="left" readingOrder="0" shrinkToFit="0" vertical="center" wrapText="1"/>
    </xf>
    <xf borderId="2" fillId="27" fontId="69" numFmtId="0" xfId="0" applyAlignment="1" applyBorder="1" applyFont="1">
      <alignment shrinkToFit="0" vertical="center" wrapText="1"/>
    </xf>
    <xf borderId="100" fillId="39" fontId="69" numFmtId="0" xfId="0" applyAlignment="1" applyBorder="1" applyFont="1">
      <alignment readingOrder="0" shrinkToFit="0" vertical="center" wrapText="1"/>
    </xf>
    <xf borderId="111" fillId="16" fontId="69" numFmtId="0" xfId="0" applyAlignment="1" applyBorder="1" applyFont="1">
      <alignment horizontal="left" readingOrder="0" shrinkToFit="0" vertical="center" wrapText="1"/>
    </xf>
    <xf borderId="68" fillId="27" fontId="69" numFmtId="0" xfId="0" applyAlignment="1" applyBorder="1" applyFont="1">
      <alignment shrinkToFit="0" vertical="center" wrapText="1"/>
    </xf>
    <xf borderId="100" fillId="24" fontId="69" numFmtId="0" xfId="0" applyAlignment="1" applyBorder="1" applyFont="1">
      <alignment readingOrder="0" shrinkToFit="0" vertical="center" wrapText="1"/>
    </xf>
    <xf borderId="100" fillId="11" fontId="69" numFmtId="0" xfId="0" applyAlignment="1" applyBorder="1" applyFont="1">
      <alignment readingOrder="0" shrinkToFit="0" vertical="center" wrapText="1"/>
    </xf>
    <xf borderId="100" fillId="40" fontId="69" numFmtId="0" xfId="0" applyAlignment="1" applyBorder="1" applyFont="1">
      <alignment readingOrder="0" shrinkToFit="0" vertical="center" wrapText="1"/>
    </xf>
    <xf borderId="0" fillId="0" fontId="7" numFmtId="0" xfId="0" applyAlignment="1" applyFont="1">
      <alignment shrinkToFit="0" vertical="center" wrapText="0"/>
    </xf>
    <xf borderId="60" fillId="20" fontId="53" numFmtId="0" xfId="0" applyAlignment="1" applyBorder="1" applyFont="1">
      <alignment horizontal="center" shrinkToFit="0" vertical="center" wrapText="0"/>
    </xf>
    <xf borderId="64" fillId="9" fontId="56" numFmtId="0" xfId="0" applyAlignment="1" applyBorder="1" applyFont="1">
      <alignment horizontal="center"/>
    </xf>
    <xf borderId="73" fillId="22" fontId="1" numFmtId="10" xfId="0" applyAlignment="1" applyBorder="1" applyFont="1" applyNumberFormat="1">
      <alignment horizontal="left" readingOrder="0"/>
    </xf>
    <xf borderId="73" fillId="5" fontId="1" numFmtId="10" xfId="0" applyAlignment="1" applyBorder="1" applyFont="1" applyNumberFormat="1">
      <alignment horizontal="left" readingOrder="0"/>
    </xf>
    <xf borderId="109" fillId="27" fontId="48" numFmtId="0" xfId="0" applyAlignment="1" applyBorder="1" applyFont="1">
      <alignment shrinkToFit="0" vertical="bottom" wrapText="0"/>
    </xf>
    <xf borderId="105" fillId="28" fontId="49" numFmtId="0" xfId="0" applyAlignment="1" applyBorder="1" applyFont="1">
      <alignment horizontal="center" shrinkToFit="0" vertical="center" wrapText="1"/>
    </xf>
    <xf borderId="0" fillId="0" fontId="70" numFmtId="0" xfId="0" applyAlignment="1" applyFont="1">
      <alignment shrinkToFit="0" vertical="bottom" wrapText="0"/>
    </xf>
    <xf borderId="3" fillId="3" fontId="71" numFmtId="0" xfId="0" applyAlignment="1" applyBorder="1" applyFont="1">
      <alignment horizontal="center" shrinkToFit="0" vertical="center" wrapText="0"/>
    </xf>
    <xf borderId="0" fillId="0" fontId="72" numFmtId="0" xfId="0" applyFont="1"/>
    <xf borderId="57" fillId="2" fontId="73" numFmtId="0" xfId="0" applyAlignment="1" applyBorder="1" applyFont="1">
      <alignment horizontal="center" shrinkToFit="0" vertical="center" wrapText="1"/>
    </xf>
    <xf borderId="6" fillId="2" fontId="73" numFmtId="0" xfId="0" applyAlignment="1" applyBorder="1" applyFont="1">
      <alignment horizontal="center" shrinkToFit="0" vertical="center" wrapText="1"/>
    </xf>
    <xf borderId="64" fillId="9" fontId="54" numFmtId="0" xfId="0" applyAlignment="1" applyBorder="1" applyFont="1">
      <alignment readingOrder="0"/>
    </xf>
    <xf borderId="9" fillId="11" fontId="54" numFmtId="0" xfId="0" applyAlignment="1" applyBorder="1" applyFont="1">
      <alignment readingOrder="0"/>
    </xf>
    <xf borderId="9" fillId="7" fontId="7" numFmtId="0" xfId="0" applyAlignment="1" applyBorder="1" applyFont="1">
      <alignment readingOrder="0"/>
    </xf>
    <xf borderId="9" fillId="14" fontId="54" numFmtId="0" xfId="0" applyAlignment="1" applyBorder="1" applyFont="1">
      <alignment readingOrder="0"/>
    </xf>
    <xf borderId="73" fillId="2" fontId="73" numFmtId="0" xfId="0" applyAlignment="1" applyBorder="1" applyFont="1">
      <alignment horizontal="center" shrinkToFit="0" vertical="center" wrapText="1"/>
    </xf>
    <xf borderId="83" fillId="25" fontId="73" numFmtId="0" xfId="0" applyAlignment="1" applyBorder="1" applyFont="1">
      <alignment horizontal="center" shrinkToFit="0" vertical="center" wrapText="0"/>
    </xf>
    <xf borderId="68" fillId="27" fontId="44" numFmtId="0" xfId="0" applyAlignment="1" applyBorder="1" applyFont="1">
      <alignment shrinkToFit="0" vertical="bottom" wrapText="0"/>
    </xf>
    <xf borderId="0" fillId="0" fontId="74" numFmtId="0" xfId="0" applyFont="1"/>
    <xf borderId="69" fillId="25" fontId="73" numFmtId="0" xfId="0" applyAlignment="1" applyBorder="1" applyFont="1">
      <alignment horizontal="center" shrinkToFit="0" vertical="center" wrapText="0"/>
    </xf>
    <xf borderId="1" fillId="2" fontId="43" numFmtId="0" xfId="0" applyAlignment="1" applyBorder="1" applyFont="1">
      <alignment horizontal="center" shrinkToFit="0" vertical="center" wrapText="0"/>
    </xf>
    <xf borderId="9" fillId="9" fontId="54" numFmtId="0" xfId="0" applyAlignment="1" applyBorder="1" applyFont="1">
      <alignment horizontal="center" readingOrder="0"/>
    </xf>
    <xf borderId="9" fillId="9" fontId="54" numFmtId="10" xfId="0" applyAlignment="1" applyBorder="1" applyFont="1" applyNumberFormat="1">
      <alignment horizontal="center" readingOrder="0"/>
    </xf>
    <xf borderId="64" fillId="9" fontId="55" numFmtId="0" xfId="0" applyAlignment="1" applyBorder="1" applyFont="1">
      <alignment readingOrder="0"/>
    </xf>
    <xf borderId="9" fillId="11" fontId="54" numFmtId="0" xfId="0" applyAlignment="1" applyBorder="1" applyFont="1">
      <alignment horizontal="center" readingOrder="0"/>
    </xf>
    <xf borderId="9" fillId="7" fontId="7" numFmtId="0" xfId="0" applyAlignment="1" applyBorder="1" applyFont="1">
      <alignment horizontal="center" readingOrder="0"/>
    </xf>
    <xf borderId="9" fillId="14" fontId="54" numFmtId="0" xfId="0" applyAlignment="1" applyBorder="1" applyFont="1">
      <alignment horizontal="center" readingOrder="0"/>
    </xf>
    <xf borderId="60" fillId="26" fontId="73" numFmtId="0" xfId="0" applyAlignment="1" applyBorder="1" applyFont="1">
      <alignment horizontal="center" shrinkToFit="0" vertical="center" wrapText="1"/>
    </xf>
    <xf borderId="11" fillId="27" fontId="70" numFmtId="0" xfId="0" applyAlignment="1" applyBorder="1" applyFont="1">
      <alignment shrinkToFit="0" vertical="bottom" wrapText="0"/>
    </xf>
    <xf borderId="60" fillId="28" fontId="73" numFmtId="0" xfId="0" applyAlignment="1" applyBorder="1" applyFont="1">
      <alignment horizontal="center" shrinkToFit="0" vertical="center" wrapText="1"/>
    </xf>
    <xf borderId="69" fillId="7" fontId="1" numFmtId="0" xfId="0" applyAlignment="1" applyBorder="1" applyFont="1">
      <alignment readingOrder="0" shrinkToFit="0" wrapText="1"/>
    </xf>
    <xf borderId="73" fillId="26" fontId="73" numFmtId="0" xfId="0" applyAlignment="1" applyBorder="1" applyFont="1">
      <alignment horizontal="center" shrinkToFit="0" vertical="center" wrapText="1"/>
    </xf>
    <xf borderId="1" fillId="27" fontId="70" numFmtId="0" xfId="0" applyAlignment="1" applyBorder="1" applyFont="1">
      <alignment shrinkToFit="0" vertical="bottom" wrapText="0"/>
    </xf>
    <xf borderId="0" fillId="0" fontId="56" numFmtId="0" xfId="0" applyFont="1"/>
    <xf borderId="0" fillId="0" fontId="1" numFmtId="0" xfId="0" applyFont="1"/>
    <xf borderId="92" fillId="26" fontId="73" numFmtId="0" xfId="0" applyAlignment="1" applyBorder="1" applyFont="1">
      <alignment horizontal="center" shrinkToFit="0" vertical="center" wrapText="1"/>
    </xf>
    <xf borderId="68" fillId="27" fontId="70" numFmtId="0" xfId="0" applyAlignment="1" applyBorder="1" applyFont="1">
      <alignment shrinkToFit="0" vertical="bottom" wrapText="0"/>
    </xf>
    <xf borderId="98" fillId="6" fontId="7" numFmtId="0" xfId="0" applyAlignment="1" applyBorder="1" applyFont="1">
      <alignment horizontal="left" readingOrder="0" shrinkToFit="0" vertical="center" wrapText="0"/>
    </xf>
    <xf borderId="2" fillId="27" fontId="7" numFmtId="0" xfId="0" applyAlignment="1" applyBorder="1" applyFont="1">
      <alignment shrinkToFit="0" vertical="center" wrapText="0"/>
    </xf>
    <xf borderId="100" fillId="39" fontId="7" numFmtId="0" xfId="0" applyAlignment="1" applyBorder="1" applyFont="1">
      <alignment readingOrder="0" shrinkToFit="0" vertical="center" wrapText="0"/>
    </xf>
    <xf borderId="111" fillId="16" fontId="7" numFmtId="0" xfId="0" applyAlignment="1" applyBorder="1" applyFont="1">
      <alignment horizontal="left" readingOrder="0" shrinkToFit="0" vertical="center" wrapText="0"/>
    </xf>
    <xf borderId="1" fillId="24" fontId="7" numFmtId="0" xfId="0" applyAlignment="1" applyBorder="1" applyFont="1">
      <alignment horizontal="left" shrinkToFit="0" vertical="center" wrapText="0"/>
    </xf>
    <xf borderId="68" fillId="27" fontId="7" numFmtId="0" xfId="0" applyAlignment="1" applyBorder="1" applyFont="1">
      <alignment shrinkToFit="0" vertical="center" wrapText="0"/>
    </xf>
    <xf borderId="100" fillId="24" fontId="7" numFmtId="0" xfId="0" applyAlignment="1" applyBorder="1" applyFont="1">
      <alignment readingOrder="0" shrinkToFit="0" vertical="center" wrapText="0"/>
    </xf>
    <xf borderId="0" fillId="0" fontId="7" numFmtId="0" xfId="0" applyAlignment="1" applyFont="1">
      <alignment shrinkToFit="0" vertical="center" wrapText="0"/>
    </xf>
    <xf borderId="100" fillId="11" fontId="7" numFmtId="0" xfId="0" applyAlignment="1" applyBorder="1" applyFont="1">
      <alignment readingOrder="0" shrinkToFit="0" vertical="center" wrapText="0"/>
    </xf>
    <xf borderId="100" fillId="40" fontId="7" numFmtId="0" xfId="0" applyAlignment="1" applyBorder="1" applyFont="1">
      <alignment readingOrder="0" shrinkToFit="0" vertical="center" wrapText="0"/>
    </xf>
    <xf borderId="67" fillId="7" fontId="1" numFmtId="0" xfId="0" applyBorder="1" applyFont="1"/>
    <xf borderId="70" fillId="7" fontId="1" numFmtId="0" xfId="0" applyAlignment="1" applyBorder="1" applyFont="1">
      <alignment readingOrder="0"/>
    </xf>
    <xf borderId="9" fillId="41" fontId="1" numFmtId="0" xfId="0" applyAlignment="1" applyBorder="1" applyFill="1" applyFont="1">
      <alignment horizontal="left" readingOrder="0"/>
    </xf>
    <xf borderId="73" fillId="0" fontId="1" numFmtId="0" xfId="0" applyAlignment="1" applyBorder="1" applyFont="1">
      <alignment horizontal="left" readingOrder="0"/>
    </xf>
    <xf borderId="9" fillId="0" fontId="1" numFmtId="0" xfId="0" applyAlignment="1" applyBorder="1" applyFont="1">
      <alignment horizontal="left" vertical="bottom"/>
    </xf>
    <xf borderId="9" fillId="7" fontId="1" numFmtId="0" xfId="0" applyAlignment="1" applyBorder="1" applyFont="1">
      <alignment horizontal="left" vertical="bottom"/>
    </xf>
    <xf borderId="73" fillId="0" fontId="1" numFmtId="10" xfId="0" applyAlignment="1" applyBorder="1" applyFont="1" applyNumberFormat="1">
      <alignment horizontal="left" vertical="bottom"/>
    </xf>
    <xf borderId="73" fillId="0" fontId="1" numFmtId="0" xfId="0" applyAlignment="1" applyBorder="1" applyFont="1">
      <alignment horizontal="left" vertical="bottom"/>
    </xf>
    <xf borderId="3" fillId="2" fontId="59" numFmtId="0" xfId="0" applyAlignment="1" applyBorder="1" applyFont="1">
      <alignment horizontal="center" shrinkToFit="0" vertical="center" wrapText="0"/>
    </xf>
    <xf borderId="68" fillId="26" fontId="59" numFmtId="0" xfId="0" applyAlignment="1" applyBorder="1" applyFont="1">
      <alignment horizontal="center" shrinkToFit="0" vertical="center" wrapText="0"/>
    </xf>
    <xf borderId="1" fillId="3" fontId="59" numFmtId="0" xfId="0" applyAlignment="1" applyBorder="1" applyFont="1">
      <alignment horizontal="center" shrinkToFit="0" vertical="center" wrapText="0"/>
    </xf>
    <xf borderId="3" fillId="28" fontId="59" numFmtId="0" xfId="0" applyAlignment="1" applyBorder="1" applyFont="1">
      <alignment horizontal="center" shrinkToFit="0" vertical="center" wrapText="0"/>
    </xf>
    <xf borderId="68" fillId="20" fontId="59" numFmtId="0" xfId="0" applyAlignment="1" applyBorder="1" applyFont="1">
      <alignment horizontal="center" shrinkToFit="0" vertical="center" wrapText="0"/>
    </xf>
    <xf borderId="1" fillId="37" fontId="59" numFmtId="0" xfId="0" applyAlignment="1" applyBorder="1" applyFont="1">
      <alignment horizontal="center" shrinkToFit="0" vertical="center" wrapText="0"/>
    </xf>
    <xf borderId="37" fillId="7" fontId="56" numFmtId="0" xfId="0" applyAlignment="1" applyBorder="1" applyFont="1">
      <alignment horizontal="left"/>
    </xf>
    <xf borderId="37" fillId="7" fontId="56" numFmtId="0" xfId="0" applyAlignment="1" applyBorder="1" applyFont="1">
      <alignment horizontal="left" readingOrder="0"/>
    </xf>
    <xf borderId="100" fillId="39" fontId="7" numFmtId="0" xfId="0" applyAlignment="1" applyBorder="1" applyFont="1">
      <alignment shrinkToFit="0" vertical="center" wrapText="0"/>
    </xf>
    <xf borderId="9" fillId="9" fontId="54" numFmtId="0" xfId="0" applyAlignment="1" applyBorder="1" applyFont="1">
      <alignment horizontal="left" readingOrder="0"/>
    </xf>
    <xf borderId="64" fillId="9" fontId="55" numFmtId="0" xfId="0" applyAlignment="1" applyBorder="1" applyFont="1">
      <alignment horizontal="left" readingOrder="0"/>
    </xf>
    <xf borderId="9" fillId="11" fontId="55" numFmtId="0" xfId="0" applyAlignment="1" applyBorder="1" applyFont="1">
      <alignment horizontal="left" readingOrder="0"/>
    </xf>
    <xf borderId="9" fillId="14" fontId="55" numFmtId="0" xfId="0" applyAlignment="1" applyBorder="1" applyFont="1">
      <alignment horizontal="left" readingOrder="0"/>
    </xf>
    <xf borderId="1" fillId="3" fontId="4" numFmtId="0" xfId="0" applyAlignment="1" applyBorder="1" applyFont="1">
      <alignment horizontal="left" shrinkToFit="0" vertical="center" wrapText="0"/>
    </xf>
  </cellXfs>
  <cellStyles count="1">
    <cellStyle xfId="0" name="Normal" builtinId="0"/>
  </cellStyles>
  <dxfs count="4">
    <dxf>
      <font/>
      <fill>
        <patternFill patternType="solid">
          <fgColor rgb="FFD9EAD3"/>
          <bgColor rgb="FFD9EAD3"/>
        </patternFill>
      </fill>
      <border/>
    </dxf>
    <dxf>
      <font/>
      <fill>
        <patternFill patternType="solid">
          <fgColor rgb="FFFCE5CD"/>
          <bgColor rgb="FFFCE5CD"/>
        </patternFill>
      </fill>
      <border/>
    </dxf>
    <dxf>
      <font/>
      <fill>
        <patternFill patternType="solid">
          <fgColor rgb="FFE6B8AF"/>
          <bgColor rgb="FFE6B8AF"/>
        </patternFill>
      </fill>
      <border/>
    </dxf>
    <dxf>
      <font/>
      <fill>
        <patternFill patternType="solid">
          <fgColor rgb="FFCFE2F3"/>
          <bgColor rgb="FFCFE2F3"/>
        </patternFill>
      </fill>
      <border/>
    </dxf>
  </dxfs>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hronobite.vercel.app/" TargetMode="External"/><Relationship Id="rId2" Type="http://schemas.openxmlformats.org/officeDocument/2006/relationships/hyperlink" Target="https://docs.google.com/spreadsheets/d/19jf8cQrbr6nh6tHYPYJm-mAD1trc_C9S/edit?usp=sharing&amp;ouid=103897389191751582084&amp;rtpof=true&amp;sd=true" TargetMode="External"/><Relationship Id="rId3" Type="http://schemas.openxmlformats.org/officeDocument/2006/relationships/hyperlink" Target="https://fdc.nal.usda.gov/" TargetMode="External"/><Relationship Id="rId4" Type="http://schemas.openxmlformats.org/officeDocument/2006/relationships/hyperlink" Target="https://docs.google.com/spreadsheets/d/1boAQrfGTLud_P-jcZ_6Y-09liKbdfE34/edit?usp=sharing&amp;ouid=103897389191751582084&amp;rtpof=true&amp;sd=true" TargetMode="External"/><Relationship Id="rId5" Type="http://schemas.openxmlformats.org/officeDocument/2006/relationships/hyperlink" Target="https://ods.od.nih.gov/HealthInformation/nutrientrecommendations.aspx" TargetMode="External"/><Relationship Id="rId6" Type="http://schemas.openxmlformats.org/officeDocument/2006/relationships/hyperlink" Target="https://docs.google.com/spreadsheets/d/18CogQPlFaTge1_8HcRGrAxfoym2TiOJV/edit?usp=drive_link&amp;ouid=103897389191751582084&amp;rtpof=true&amp;sd=true" TargetMode="External"/><Relationship Id="rId7" Type="http://schemas.openxmlformats.org/officeDocument/2006/relationships/hyperlink" Target="https://drive.google.com/drive/folders/1wyxY3cAY9gEYP8Bq6yShL_cDMnBJw95e?usp=sharing"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8.43"/>
    <col customWidth="1" min="3" max="3" width="110.29"/>
    <col customWidth="1" min="4" max="4" width="2.0"/>
    <col customWidth="1" min="5" max="23"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37.5" customHeight="1">
      <c r="A2" s="1"/>
      <c r="B2" s="2" t="s">
        <v>0</v>
      </c>
      <c r="C2" s="3"/>
      <c r="D2" s="1"/>
      <c r="E2" s="1"/>
      <c r="F2" s="1"/>
      <c r="G2" s="1"/>
      <c r="H2" s="1"/>
      <c r="I2" s="1"/>
      <c r="J2" s="1"/>
      <c r="K2" s="1"/>
      <c r="L2" s="1"/>
      <c r="M2" s="1"/>
      <c r="N2" s="1"/>
      <c r="O2" s="1"/>
      <c r="P2" s="1"/>
      <c r="Q2" s="1"/>
      <c r="R2" s="1"/>
      <c r="S2" s="1"/>
      <c r="T2" s="1"/>
      <c r="U2" s="1"/>
      <c r="V2" s="1"/>
      <c r="W2" s="1"/>
      <c r="X2" s="1"/>
      <c r="Y2" s="1"/>
      <c r="Z2" s="1"/>
    </row>
    <row r="3" ht="24.0" customHeight="1">
      <c r="A3" s="1"/>
      <c r="B3" s="4" t="s">
        <v>1</v>
      </c>
      <c r="C3" s="3"/>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ht="19.5" customHeight="1">
      <c r="A5" s="1"/>
      <c r="B5" s="5" t="s">
        <v>2</v>
      </c>
      <c r="C5" s="6"/>
      <c r="D5" s="1"/>
      <c r="E5" s="1"/>
      <c r="F5" s="1"/>
      <c r="G5" s="1"/>
      <c r="H5" s="1"/>
      <c r="I5" s="1"/>
      <c r="J5" s="1"/>
      <c r="K5" s="1"/>
      <c r="L5" s="1"/>
      <c r="M5" s="1"/>
      <c r="N5" s="1"/>
      <c r="O5" s="1"/>
      <c r="P5" s="1"/>
      <c r="Q5" s="1"/>
      <c r="R5" s="1"/>
      <c r="S5" s="1"/>
      <c r="T5" s="1"/>
      <c r="U5" s="1"/>
      <c r="V5" s="1"/>
      <c r="W5" s="1"/>
      <c r="X5" s="1"/>
      <c r="Y5" s="1"/>
      <c r="Z5" s="1"/>
    </row>
    <row r="6">
      <c r="A6" s="1"/>
      <c r="B6" s="7" t="s">
        <v>3</v>
      </c>
      <c r="C6" s="8" t="s">
        <v>4</v>
      </c>
      <c r="D6" s="1"/>
      <c r="E6" s="1"/>
      <c r="F6" s="1"/>
      <c r="G6" s="1"/>
      <c r="H6" s="1"/>
      <c r="I6" s="1"/>
      <c r="J6" s="1"/>
      <c r="K6" s="1"/>
      <c r="L6" s="1"/>
      <c r="M6" s="1"/>
      <c r="N6" s="1"/>
      <c r="O6" s="1"/>
      <c r="P6" s="1"/>
      <c r="Q6" s="1"/>
      <c r="R6" s="1"/>
      <c r="S6" s="1"/>
      <c r="T6" s="1"/>
      <c r="U6" s="1"/>
      <c r="V6" s="1"/>
      <c r="W6" s="1"/>
      <c r="X6" s="1"/>
      <c r="Y6" s="1"/>
      <c r="Z6" s="1"/>
    </row>
    <row r="7">
      <c r="A7" s="1"/>
      <c r="B7" s="9" t="s">
        <v>5</v>
      </c>
      <c r="C7" s="10" t="s">
        <v>6</v>
      </c>
      <c r="D7" s="1"/>
      <c r="E7" s="1"/>
      <c r="F7" s="1"/>
      <c r="G7" s="1"/>
      <c r="H7" s="1"/>
      <c r="I7" s="1"/>
      <c r="J7" s="1"/>
      <c r="K7" s="1"/>
      <c r="L7" s="1"/>
      <c r="M7" s="1"/>
      <c r="N7" s="1"/>
      <c r="O7" s="1"/>
      <c r="P7" s="1"/>
      <c r="Q7" s="1"/>
      <c r="R7" s="1"/>
      <c r="S7" s="1"/>
      <c r="T7" s="1"/>
      <c r="U7" s="1"/>
      <c r="V7" s="1"/>
      <c r="W7" s="1"/>
      <c r="X7" s="1"/>
      <c r="Y7" s="1"/>
      <c r="Z7" s="1"/>
    </row>
    <row r="8">
      <c r="A8" s="1"/>
      <c r="B8" s="7" t="s">
        <v>7</v>
      </c>
      <c r="C8" s="8" t="s">
        <v>8</v>
      </c>
      <c r="D8" s="1"/>
      <c r="E8" s="1"/>
      <c r="F8" s="1"/>
      <c r="G8" s="1"/>
      <c r="H8" s="1"/>
      <c r="I8" s="1"/>
      <c r="J8" s="1"/>
      <c r="K8" s="1"/>
      <c r="L8" s="1"/>
      <c r="M8" s="1"/>
      <c r="N8" s="1"/>
      <c r="O8" s="1"/>
      <c r="P8" s="1"/>
      <c r="Q8" s="1"/>
      <c r="R8" s="1"/>
      <c r="S8" s="1"/>
      <c r="T8" s="1"/>
      <c r="U8" s="1"/>
      <c r="V8" s="1"/>
      <c r="W8" s="1"/>
      <c r="X8" s="1"/>
      <c r="Y8" s="1"/>
      <c r="Z8" s="1"/>
    </row>
    <row r="9">
      <c r="A9" s="1"/>
      <c r="B9" s="7" t="s">
        <v>9</v>
      </c>
      <c r="C9" s="11" t="s">
        <v>10</v>
      </c>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ht="19.5" customHeight="1">
      <c r="A11" s="1"/>
      <c r="B11" s="5" t="s">
        <v>11</v>
      </c>
      <c r="C11" s="6"/>
      <c r="D11" s="1"/>
      <c r="E11" s="1"/>
      <c r="F11" s="1"/>
      <c r="G11" s="1"/>
      <c r="H11" s="1"/>
      <c r="I11" s="1"/>
      <c r="J11" s="1"/>
      <c r="K11" s="1"/>
      <c r="L11" s="1"/>
      <c r="M11" s="1"/>
      <c r="N11" s="1"/>
      <c r="O11" s="1"/>
      <c r="P11" s="1"/>
      <c r="Q11" s="1"/>
      <c r="R11" s="1"/>
      <c r="S11" s="1"/>
      <c r="T11" s="1"/>
      <c r="U11" s="1"/>
      <c r="V11" s="1"/>
      <c r="W11" s="1"/>
      <c r="X11" s="1"/>
      <c r="Y11" s="1"/>
      <c r="Z11" s="1"/>
    </row>
    <row r="12">
      <c r="A12" s="1"/>
      <c r="B12" s="7" t="s">
        <v>12</v>
      </c>
      <c r="C12" s="11" t="s">
        <v>13</v>
      </c>
      <c r="D12" s="1"/>
      <c r="E12" s="1"/>
      <c r="F12" s="1"/>
      <c r="G12" s="1"/>
      <c r="H12" s="1"/>
      <c r="I12" s="1"/>
      <c r="J12" s="1"/>
      <c r="K12" s="1"/>
      <c r="L12" s="1"/>
      <c r="M12" s="1"/>
      <c r="N12" s="1"/>
      <c r="O12" s="1"/>
      <c r="P12" s="1"/>
      <c r="Q12" s="1"/>
      <c r="R12" s="1"/>
      <c r="S12" s="1"/>
      <c r="T12" s="1"/>
      <c r="U12" s="1"/>
      <c r="V12" s="1"/>
      <c r="W12" s="1"/>
      <c r="X12" s="1"/>
      <c r="Y12" s="1"/>
      <c r="Z12" s="1"/>
    </row>
    <row r="13">
      <c r="A13" s="1"/>
      <c r="B13" s="7" t="s">
        <v>14</v>
      </c>
      <c r="C13" s="11" t="s">
        <v>15</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ht="19.5" customHeight="1">
      <c r="A15" s="1"/>
      <c r="B15" s="12" t="s">
        <v>16</v>
      </c>
      <c r="C15" s="13"/>
      <c r="D15" s="1"/>
      <c r="E15" s="1"/>
      <c r="F15" s="1"/>
      <c r="G15" s="1"/>
      <c r="H15" s="1"/>
      <c r="I15" s="1"/>
      <c r="J15" s="1"/>
      <c r="K15" s="1"/>
      <c r="L15" s="1"/>
      <c r="M15" s="1"/>
      <c r="N15" s="1"/>
      <c r="O15" s="1"/>
      <c r="P15" s="1"/>
      <c r="Q15" s="1"/>
      <c r="R15" s="1"/>
      <c r="S15" s="1"/>
      <c r="T15" s="1"/>
      <c r="U15" s="1"/>
      <c r="V15" s="1"/>
      <c r="W15" s="1"/>
      <c r="X15" s="1"/>
      <c r="Y15" s="1"/>
      <c r="Z15" s="1"/>
    </row>
    <row r="16" ht="18.0" customHeight="1">
      <c r="A16" s="1"/>
      <c r="B16" s="14" t="s">
        <v>17</v>
      </c>
      <c r="C16" s="14" t="s">
        <v>18</v>
      </c>
      <c r="D16" s="1"/>
      <c r="E16" s="1"/>
      <c r="F16" s="1"/>
      <c r="G16" s="1"/>
      <c r="H16" s="1"/>
      <c r="I16" s="1"/>
      <c r="J16" s="1"/>
      <c r="K16" s="1"/>
      <c r="L16" s="1"/>
      <c r="M16" s="1"/>
      <c r="N16" s="1"/>
      <c r="O16" s="1"/>
      <c r="P16" s="1"/>
      <c r="Q16" s="1"/>
      <c r="R16" s="1"/>
      <c r="S16" s="1"/>
      <c r="T16" s="1"/>
      <c r="U16" s="1"/>
      <c r="V16" s="1"/>
      <c r="W16" s="1"/>
      <c r="X16" s="1"/>
      <c r="Y16" s="1"/>
      <c r="Z16" s="1"/>
    </row>
    <row r="17">
      <c r="A17" s="1"/>
      <c r="B17" s="15" t="s">
        <v>19</v>
      </c>
      <c r="C17" s="16" t="s">
        <v>20</v>
      </c>
      <c r="D17" s="1"/>
      <c r="E17" s="1"/>
      <c r="F17" s="1"/>
      <c r="G17" s="1"/>
      <c r="H17" s="1"/>
      <c r="I17" s="1"/>
      <c r="J17" s="1"/>
      <c r="K17" s="1"/>
      <c r="L17" s="1"/>
      <c r="M17" s="1"/>
      <c r="N17" s="1"/>
      <c r="O17" s="1"/>
      <c r="P17" s="1"/>
      <c r="Q17" s="1"/>
      <c r="R17" s="1"/>
      <c r="S17" s="1"/>
      <c r="T17" s="1"/>
      <c r="U17" s="1"/>
      <c r="V17" s="1"/>
      <c r="W17" s="1"/>
      <c r="X17" s="1"/>
      <c r="Y17" s="1"/>
      <c r="Z17" s="1"/>
    </row>
    <row r="18" ht="18.0" customHeight="1">
      <c r="A18" s="1"/>
      <c r="B18" s="17" t="s">
        <v>21</v>
      </c>
      <c r="C18" s="18" t="s">
        <v>20</v>
      </c>
      <c r="D18" s="1"/>
      <c r="E18" s="1"/>
      <c r="F18" s="1"/>
      <c r="G18" s="1"/>
      <c r="H18" s="1"/>
      <c r="I18" s="1"/>
      <c r="J18" s="1"/>
      <c r="K18" s="1"/>
      <c r="L18" s="1"/>
      <c r="M18" s="1"/>
      <c r="N18" s="1"/>
      <c r="O18" s="1"/>
      <c r="P18" s="1"/>
      <c r="Q18" s="1"/>
      <c r="R18" s="1"/>
      <c r="S18" s="1"/>
      <c r="T18" s="1"/>
      <c r="U18" s="1"/>
      <c r="V18" s="1"/>
      <c r="W18" s="1"/>
      <c r="X18" s="1"/>
      <c r="Y18" s="1"/>
      <c r="Z18" s="1"/>
    </row>
    <row r="19" ht="18.0" customHeight="1">
      <c r="A19" s="1"/>
      <c r="B19" s="19" t="s">
        <v>22</v>
      </c>
      <c r="C19" s="20" t="s">
        <v>20</v>
      </c>
      <c r="D19" s="1"/>
      <c r="E19" s="1"/>
      <c r="F19" s="1"/>
      <c r="G19" s="1"/>
      <c r="H19" s="1"/>
      <c r="I19" s="1"/>
      <c r="J19" s="1"/>
      <c r="K19" s="1"/>
      <c r="L19" s="1"/>
      <c r="M19" s="1"/>
      <c r="N19" s="1"/>
      <c r="O19" s="1"/>
      <c r="P19" s="1"/>
      <c r="Q19" s="1"/>
      <c r="R19" s="1"/>
      <c r="S19" s="1"/>
      <c r="T19" s="1"/>
      <c r="U19" s="1"/>
      <c r="V19" s="1"/>
      <c r="W19" s="1"/>
      <c r="X19" s="1"/>
      <c r="Y19" s="1"/>
      <c r="Z19" s="1"/>
    </row>
    <row r="20" ht="18.0" customHeight="1">
      <c r="A20" s="1"/>
      <c r="B20" s="21" t="s">
        <v>23</v>
      </c>
      <c r="C20" s="22" t="s">
        <v>20</v>
      </c>
      <c r="D20" s="1"/>
      <c r="E20" s="1"/>
      <c r="F20" s="1"/>
      <c r="G20" s="1"/>
      <c r="H20" s="1"/>
      <c r="I20" s="1"/>
      <c r="J20" s="1"/>
      <c r="K20" s="1"/>
      <c r="L20" s="1"/>
      <c r="M20" s="1"/>
      <c r="N20" s="1"/>
      <c r="O20" s="1"/>
      <c r="P20" s="1"/>
      <c r="Q20" s="1"/>
      <c r="R20" s="1"/>
      <c r="S20" s="1"/>
      <c r="T20" s="1"/>
      <c r="U20" s="1"/>
      <c r="V20" s="1"/>
      <c r="W20" s="1"/>
      <c r="X20" s="1"/>
      <c r="Y20" s="1"/>
      <c r="Z20" s="1"/>
    </row>
    <row r="21" ht="18.0" customHeight="1">
      <c r="A21" s="1"/>
      <c r="B21" s="23" t="s">
        <v>24</v>
      </c>
      <c r="C21" s="24" t="s">
        <v>20</v>
      </c>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9" t="s">
        <v>25</v>
      </c>
      <c r="C22" s="20" t="s">
        <v>20</v>
      </c>
      <c r="D22" s="1"/>
      <c r="E22" s="1"/>
      <c r="F22" s="1"/>
      <c r="G22" s="1"/>
      <c r="H22" s="1"/>
      <c r="I22" s="1"/>
      <c r="J22" s="1"/>
      <c r="K22" s="1"/>
      <c r="L22" s="1"/>
      <c r="M22" s="1"/>
      <c r="N22" s="1"/>
      <c r="O22" s="1"/>
      <c r="P22" s="1"/>
      <c r="Q22" s="1"/>
      <c r="R22" s="1"/>
      <c r="S22" s="1"/>
      <c r="T22" s="1"/>
      <c r="U22" s="1"/>
      <c r="V22" s="1"/>
      <c r="W22" s="1"/>
      <c r="X22" s="1"/>
      <c r="Y22" s="1"/>
      <c r="Z22" s="1"/>
    </row>
    <row r="23" ht="18.0" customHeight="1">
      <c r="A23" s="1"/>
      <c r="B23" s="17" t="s">
        <v>26</v>
      </c>
      <c r="C23" s="18" t="s">
        <v>20</v>
      </c>
      <c r="D23" s="1"/>
      <c r="E23" s="1"/>
      <c r="F23" s="1"/>
      <c r="G23" s="1"/>
      <c r="H23" s="1"/>
      <c r="I23" s="1"/>
      <c r="J23" s="1"/>
      <c r="K23" s="1"/>
      <c r="L23" s="1"/>
      <c r="M23" s="1"/>
      <c r="N23" s="1"/>
      <c r="O23" s="1"/>
      <c r="P23" s="1"/>
      <c r="Q23" s="1"/>
      <c r="R23" s="1"/>
      <c r="S23" s="1"/>
      <c r="T23" s="1"/>
      <c r="U23" s="1"/>
      <c r="V23" s="1"/>
      <c r="W23" s="1"/>
      <c r="X23" s="1"/>
      <c r="Y23" s="1"/>
      <c r="Z23" s="1"/>
    </row>
    <row r="24" ht="18.0" customHeight="1">
      <c r="A24" s="1"/>
      <c r="B24" s="23" t="s">
        <v>27</v>
      </c>
      <c r="C24" s="24" t="s">
        <v>20</v>
      </c>
      <c r="D24" s="1"/>
      <c r="E24" s="1"/>
      <c r="F24" s="1"/>
      <c r="G24" s="1"/>
      <c r="H24" s="1"/>
      <c r="I24" s="1"/>
      <c r="J24" s="1"/>
      <c r="K24" s="1"/>
      <c r="L24" s="1"/>
      <c r="M24" s="1"/>
      <c r="N24" s="1"/>
      <c r="O24" s="1"/>
      <c r="P24" s="1"/>
      <c r="Q24" s="1"/>
      <c r="R24" s="1"/>
      <c r="S24" s="1"/>
      <c r="T24" s="1"/>
      <c r="U24" s="1"/>
      <c r="V24" s="1"/>
      <c r="W24" s="1"/>
      <c r="X24" s="1"/>
      <c r="Y24" s="1"/>
      <c r="Z24" s="1"/>
    </row>
    <row r="25" ht="18.0" customHeight="1">
      <c r="A25" s="1"/>
      <c r="B25" s="21" t="s">
        <v>28</v>
      </c>
      <c r="C25" s="22" t="s">
        <v>20</v>
      </c>
      <c r="D25" s="1"/>
      <c r="E25" s="1"/>
      <c r="F25" s="1"/>
      <c r="G25" s="1"/>
      <c r="H25" s="1"/>
      <c r="I25" s="1"/>
      <c r="J25" s="1"/>
      <c r="K25" s="1"/>
      <c r="L25" s="1"/>
      <c r="M25" s="1"/>
      <c r="N25" s="1"/>
      <c r="O25" s="1"/>
      <c r="P25" s="1"/>
      <c r="Q25" s="1"/>
      <c r="R25" s="1"/>
      <c r="S25" s="1"/>
      <c r="T25" s="1"/>
      <c r="U25" s="1"/>
      <c r="V25" s="1"/>
      <c r="W25" s="1"/>
      <c r="X25" s="1"/>
      <c r="Y25" s="1"/>
      <c r="Z25" s="1"/>
    </row>
    <row r="26" ht="18.0" customHeight="1">
      <c r="A26" s="1"/>
      <c r="B26" s="19" t="s">
        <v>29</v>
      </c>
      <c r="C26" s="20" t="s">
        <v>20</v>
      </c>
      <c r="D26" s="1"/>
      <c r="E26" s="1"/>
      <c r="F26" s="1"/>
      <c r="G26" s="1"/>
      <c r="H26" s="1"/>
      <c r="I26" s="1"/>
      <c r="J26" s="1"/>
      <c r="K26" s="1"/>
      <c r="L26" s="1"/>
      <c r="M26" s="1"/>
      <c r="N26" s="1"/>
      <c r="O26" s="1"/>
      <c r="P26" s="1"/>
      <c r="Q26" s="1"/>
      <c r="R26" s="1"/>
      <c r="S26" s="1"/>
      <c r="T26" s="1"/>
      <c r="U26" s="1"/>
      <c r="V26" s="1"/>
      <c r="W26" s="1"/>
      <c r="X26" s="1"/>
      <c r="Y26" s="1"/>
      <c r="Z26" s="1"/>
    </row>
    <row r="27" ht="18.0" customHeight="1">
      <c r="A27" s="1"/>
      <c r="B27" s="17" t="s">
        <v>30</v>
      </c>
      <c r="C27" s="18" t="s">
        <v>20</v>
      </c>
      <c r="D27" s="1"/>
      <c r="E27" s="1"/>
      <c r="F27" s="1"/>
      <c r="G27" s="1"/>
      <c r="H27" s="1"/>
      <c r="I27" s="1"/>
      <c r="J27" s="1"/>
      <c r="K27" s="1"/>
      <c r="L27" s="1"/>
      <c r="M27" s="1"/>
      <c r="N27" s="1"/>
      <c r="O27" s="1"/>
      <c r="P27" s="1"/>
      <c r="Q27" s="1"/>
      <c r="R27" s="1"/>
      <c r="S27" s="1"/>
      <c r="T27" s="1"/>
      <c r="U27" s="1"/>
      <c r="V27" s="1"/>
      <c r="W27" s="1"/>
      <c r="X27" s="1"/>
      <c r="Y27" s="1"/>
      <c r="Z27" s="1"/>
    </row>
    <row r="28" ht="18.0" customHeight="1">
      <c r="A28" s="1"/>
      <c r="B28" s="19" t="s">
        <v>31</v>
      </c>
      <c r="C28" s="20" t="s">
        <v>20</v>
      </c>
      <c r="D28" s="1"/>
      <c r="E28" s="1"/>
      <c r="F28" s="1"/>
      <c r="G28" s="1"/>
      <c r="H28" s="1"/>
      <c r="I28" s="1"/>
      <c r="J28" s="1"/>
      <c r="K28" s="1"/>
      <c r="L28" s="1"/>
      <c r="M28" s="1"/>
      <c r="N28" s="1"/>
      <c r="O28" s="1"/>
      <c r="P28" s="1"/>
      <c r="Q28" s="1"/>
      <c r="R28" s="1"/>
      <c r="S28" s="1"/>
      <c r="T28" s="1"/>
      <c r="U28" s="1"/>
      <c r="V28" s="1"/>
      <c r="W28" s="1"/>
      <c r="X28" s="1"/>
      <c r="Y28" s="1"/>
      <c r="Z28" s="1"/>
    </row>
    <row r="29" ht="18.0" customHeight="1">
      <c r="A29" s="1"/>
      <c r="B29" s="23" t="s">
        <v>32</v>
      </c>
      <c r="C29" s="24" t="s">
        <v>20</v>
      </c>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9.5" customHeight="1">
      <c r="A31" s="1"/>
      <c r="B31" s="12" t="s">
        <v>33</v>
      </c>
      <c r="C31" s="13"/>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7" t="s">
        <v>34</v>
      </c>
      <c r="C32" s="25" t="s">
        <v>35</v>
      </c>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7" t="s">
        <v>36</v>
      </c>
      <c r="C33" s="25" t="s">
        <v>37</v>
      </c>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7" t="s">
        <v>38</v>
      </c>
      <c r="C34" s="25" t="s">
        <v>39</v>
      </c>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7.75" customHeight="1">
      <c r="A36" s="1"/>
      <c r="B36" s="26" t="s">
        <v>40</v>
      </c>
      <c r="C36" s="27"/>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C2"/>
    <mergeCell ref="B3:C3"/>
    <mergeCell ref="B5:C5"/>
    <mergeCell ref="B11:C11"/>
    <mergeCell ref="B15:C15"/>
    <mergeCell ref="B31:C31"/>
    <mergeCell ref="B36:C3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3.43"/>
    <col customWidth="1" min="3" max="3" width="12.0"/>
    <col customWidth="1" min="4" max="4" width="95.71"/>
    <col customWidth="1" min="5" max="5" width="2.0"/>
    <col customWidth="1" min="6" max="6" width="8.71"/>
  </cols>
  <sheetData>
    <row r="1" ht="7.5" customHeight="1">
      <c r="A1" s="28"/>
      <c r="B1" s="28"/>
      <c r="C1" s="28"/>
      <c r="D1" s="28"/>
      <c r="E1" s="28"/>
    </row>
    <row r="2" ht="36.0" customHeight="1">
      <c r="A2" s="28"/>
      <c r="B2" s="29" t="s">
        <v>41</v>
      </c>
      <c r="C2" s="30"/>
      <c r="D2" s="3"/>
      <c r="E2" s="28"/>
    </row>
    <row r="3" ht="21.75" customHeight="1">
      <c r="A3" s="28"/>
      <c r="B3" s="31" t="s">
        <v>42</v>
      </c>
      <c r="C3" s="30"/>
      <c r="D3" s="3"/>
      <c r="E3" s="28"/>
    </row>
    <row r="4" ht="15.75" customHeight="1">
      <c r="A4" s="28"/>
      <c r="B4" s="32" t="s">
        <v>43</v>
      </c>
      <c r="C4" s="30"/>
      <c r="D4" s="3"/>
      <c r="E4" s="28"/>
    </row>
    <row r="5">
      <c r="A5" s="28"/>
      <c r="B5" s="28"/>
      <c r="C5" s="28"/>
      <c r="D5" s="28"/>
      <c r="E5" s="28"/>
    </row>
    <row r="6" ht="19.5" customHeight="1">
      <c r="A6" s="28"/>
      <c r="B6" s="33" t="s">
        <v>44</v>
      </c>
      <c r="C6" s="34"/>
      <c r="D6" s="35"/>
      <c r="E6" s="28"/>
    </row>
    <row r="7" ht="15.0" customHeight="1">
      <c r="A7" s="28"/>
      <c r="B7" s="36" t="s">
        <v>45</v>
      </c>
      <c r="C7" s="37" t="s">
        <v>46</v>
      </c>
      <c r="D7" s="35"/>
      <c r="E7" s="28"/>
    </row>
    <row r="8" ht="27.75" customHeight="1">
      <c r="A8" s="28"/>
      <c r="B8" s="36" t="s">
        <v>47</v>
      </c>
      <c r="C8" s="38" t="s">
        <v>48</v>
      </c>
      <c r="D8" s="35"/>
      <c r="E8" s="28"/>
    </row>
    <row r="9" ht="27.75" customHeight="1">
      <c r="A9" s="28"/>
      <c r="B9" s="36" t="s">
        <v>34</v>
      </c>
      <c r="C9" s="37" t="s">
        <v>49</v>
      </c>
      <c r="D9" s="35"/>
      <c r="E9" s="28"/>
    </row>
    <row r="10" ht="15.75" customHeight="1">
      <c r="A10" s="28"/>
      <c r="B10" s="28"/>
      <c r="C10" s="28"/>
      <c r="D10" s="28"/>
      <c r="E10" s="28"/>
    </row>
    <row r="11" ht="19.5" customHeight="1">
      <c r="A11" s="28"/>
      <c r="B11" s="33" t="s">
        <v>50</v>
      </c>
      <c r="C11" s="34"/>
      <c r="D11" s="35"/>
      <c r="E11" s="28"/>
    </row>
    <row r="12" ht="15.0" customHeight="1">
      <c r="A12" s="28"/>
      <c r="B12" s="39" t="s">
        <v>51</v>
      </c>
      <c r="C12" s="40" t="s">
        <v>52</v>
      </c>
      <c r="D12" s="35"/>
      <c r="E12" s="28"/>
    </row>
    <row r="13" ht="15.0" customHeight="1">
      <c r="A13" s="28"/>
      <c r="B13" s="39" t="s">
        <v>53</v>
      </c>
      <c r="C13" s="41" t="s">
        <v>54</v>
      </c>
      <c r="D13" s="35"/>
      <c r="E13" s="28"/>
    </row>
    <row r="14" ht="15.0" customHeight="1">
      <c r="A14" s="28"/>
      <c r="B14" s="39" t="s">
        <v>55</v>
      </c>
      <c r="C14" s="40" t="s">
        <v>56</v>
      </c>
      <c r="D14" s="35"/>
      <c r="E14" s="28"/>
    </row>
    <row r="15" ht="27.75" customHeight="1">
      <c r="A15" s="28"/>
      <c r="B15" s="39" t="s">
        <v>57</v>
      </c>
      <c r="C15" s="41" t="s">
        <v>58</v>
      </c>
      <c r="D15" s="35"/>
      <c r="E15" s="28"/>
    </row>
    <row r="16" ht="27.75" customHeight="1">
      <c r="A16" s="28"/>
      <c r="B16" s="39" t="s">
        <v>59</v>
      </c>
      <c r="C16" s="40" t="s">
        <v>60</v>
      </c>
      <c r="D16" s="35"/>
      <c r="E16" s="28"/>
    </row>
    <row r="17" ht="15.0" customHeight="1">
      <c r="A17" s="28"/>
      <c r="B17" s="39" t="s">
        <v>61</v>
      </c>
      <c r="C17" s="41" t="s">
        <v>62</v>
      </c>
      <c r="D17" s="35"/>
      <c r="E17" s="28"/>
    </row>
    <row r="18" ht="15.75" customHeight="1">
      <c r="A18" s="28"/>
      <c r="B18" s="28"/>
      <c r="C18" s="28"/>
      <c r="D18" s="28"/>
      <c r="E18" s="28"/>
    </row>
    <row r="19" ht="19.5" customHeight="1">
      <c r="A19" s="28"/>
      <c r="B19" s="42" t="s">
        <v>63</v>
      </c>
      <c r="C19" s="43"/>
      <c r="D19" s="44"/>
      <c r="E19" s="28"/>
    </row>
    <row r="20" ht="30.0" customHeight="1">
      <c r="A20" s="28"/>
      <c r="B20" s="45" t="s">
        <v>64</v>
      </c>
      <c r="C20" s="46" t="s">
        <v>65</v>
      </c>
      <c r="D20" s="47"/>
      <c r="E20" s="28"/>
    </row>
    <row r="21" ht="30.0" customHeight="1">
      <c r="A21" s="28"/>
      <c r="B21" s="48" t="s">
        <v>66</v>
      </c>
      <c r="C21" s="49" t="s">
        <v>67</v>
      </c>
      <c r="D21" s="50"/>
      <c r="E21" s="28"/>
    </row>
    <row r="22" ht="30.0" customHeight="1">
      <c r="A22" s="28"/>
      <c r="B22" s="51" t="s">
        <v>68</v>
      </c>
      <c r="C22" s="52" t="s">
        <v>69</v>
      </c>
      <c r="D22" s="53"/>
      <c r="E22" s="28"/>
    </row>
    <row r="23" ht="30.0" customHeight="1">
      <c r="A23" s="28"/>
      <c r="B23" s="54" t="s">
        <v>70</v>
      </c>
      <c r="C23" s="55" t="s">
        <v>71</v>
      </c>
      <c r="D23" s="56"/>
      <c r="E23" s="28"/>
    </row>
    <row r="24" ht="30.0" customHeight="1">
      <c r="A24" s="28"/>
      <c r="B24" s="57" t="s">
        <v>72</v>
      </c>
      <c r="C24" s="58" t="s">
        <v>73</v>
      </c>
      <c r="D24" s="59"/>
      <c r="E24" s="28"/>
    </row>
    <row r="25" ht="15.75" customHeight="1">
      <c r="A25" s="28"/>
      <c r="B25" s="28"/>
      <c r="C25" s="28"/>
      <c r="D25" s="28"/>
      <c r="E25" s="28"/>
    </row>
    <row r="26" ht="19.5" customHeight="1">
      <c r="A26" s="28"/>
      <c r="B26" s="33" t="s">
        <v>74</v>
      </c>
      <c r="C26" s="34"/>
      <c r="D26" s="35"/>
      <c r="E26" s="28"/>
    </row>
    <row r="27" ht="19.5" customHeight="1">
      <c r="A27" s="28"/>
      <c r="B27" s="60" t="s">
        <v>75</v>
      </c>
      <c r="C27" s="61" t="s">
        <v>76</v>
      </c>
      <c r="D27" s="35"/>
      <c r="E27" s="28"/>
    </row>
    <row r="28" ht="19.5" customHeight="1">
      <c r="A28" s="28"/>
      <c r="B28" s="60" t="s">
        <v>77</v>
      </c>
      <c r="C28" s="61" t="s">
        <v>78</v>
      </c>
      <c r="D28" s="35"/>
      <c r="E28" s="28"/>
    </row>
    <row r="29" ht="19.5" customHeight="1">
      <c r="A29" s="28"/>
      <c r="B29" s="62" t="s">
        <v>79</v>
      </c>
      <c r="C29" s="63" t="s">
        <v>80</v>
      </c>
      <c r="D29" s="64"/>
      <c r="E29" s="28"/>
    </row>
    <row r="30" ht="19.5" customHeight="1">
      <c r="A30" s="28"/>
      <c r="B30" s="62" t="s">
        <v>81</v>
      </c>
      <c r="C30" s="61" t="s">
        <v>82</v>
      </c>
      <c r="D30" s="35"/>
      <c r="E30" s="28"/>
    </row>
    <row r="31" ht="19.5" customHeight="1">
      <c r="A31" s="28"/>
      <c r="B31" s="65" t="s">
        <v>83</v>
      </c>
      <c r="C31" s="66" t="s">
        <v>84</v>
      </c>
      <c r="D31" s="67"/>
      <c r="E31" s="28"/>
    </row>
    <row r="32" ht="19.5" customHeight="1">
      <c r="A32" s="28"/>
      <c r="B32" s="60" t="s">
        <v>85</v>
      </c>
      <c r="C32" s="61" t="s">
        <v>86</v>
      </c>
      <c r="D32" s="35"/>
      <c r="E32" s="28"/>
    </row>
    <row r="33" ht="19.5" customHeight="1">
      <c r="A33" s="28"/>
      <c r="B33" s="65" t="s">
        <v>87</v>
      </c>
      <c r="C33" s="68" t="s">
        <v>88</v>
      </c>
      <c r="D33" s="67"/>
      <c r="E33" s="28"/>
    </row>
    <row r="34" ht="15.75" customHeight="1">
      <c r="A34" s="28"/>
      <c r="B34" s="28"/>
      <c r="C34" s="28"/>
      <c r="D34" s="28"/>
      <c r="E34" s="28"/>
    </row>
    <row r="35" ht="15.75" customHeight="1">
      <c r="A35" s="28"/>
      <c r="B35" s="28"/>
      <c r="C35" s="28"/>
      <c r="D35" s="28"/>
      <c r="E35" s="28"/>
    </row>
    <row r="36" ht="15.75" customHeight="1">
      <c r="A36" s="28"/>
      <c r="B36" s="28"/>
      <c r="C36" s="28"/>
      <c r="D36" s="28"/>
      <c r="E36" s="28"/>
    </row>
    <row r="37" ht="15.75" customHeight="1">
      <c r="A37" s="28"/>
      <c r="B37" s="28"/>
      <c r="C37" s="28"/>
      <c r="D37" s="28"/>
      <c r="E37" s="28"/>
    </row>
    <row r="38" ht="15.75" customHeight="1">
      <c r="A38" s="28"/>
      <c r="B38" s="28"/>
      <c r="C38" s="28"/>
      <c r="D38" s="28"/>
      <c r="E38" s="28"/>
    </row>
    <row r="39" ht="15.75" customHeight="1">
      <c r="A39" s="28"/>
      <c r="B39" s="28"/>
      <c r="C39" s="28"/>
      <c r="D39" s="28"/>
      <c r="E39" s="28"/>
    </row>
    <row r="40" ht="15.75" customHeight="1">
      <c r="A40" s="28"/>
      <c r="B40" s="28"/>
      <c r="C40" s="28"/>
      <c r="D40" s="28"/>
      <c r="E40" s="28"/>
    </row>
    <row r="41" ht="15.75" customHeight="1">
      <c r="A41" s="28"/>
      <c r="B41" s="28"/>
      <c r="C41" s="28"/>
      <c r="D41" s="28"/>
      <c r="E41" s="28"/>
    </row>
    <row r="42" ht="15.75" customHeight="1">
      <c r="A42" s="28"/>
      <c r="B42" s="28"/>
      <c r="C42" s="28"/>
      <c r="D42" s="28"/>
      <c r="E42" s="28"/>
    </row>
    <row r="43" ht="15.75" customHeight="1">
      <c r="A43" s="28"/>
      <c r="B43" s="28"/>
      <c r="C43" s="28"/>
      <c r="D43" s="28"/>
      <c r="E43" s="28"/>
    </row>
    <row r="44" ht="15.75" customHeight="1">
      <c r="A44" s="28"/>
      <c r="B44" s="28"/>
      <c r="C44" s="28"/>
      <c r="D44" s="28"/>
      <c r="E44" s="28"/>
    </row>
    <row r="45" ht="15.75" customHeight="1">
      <c r="A45" s="28"/>
      <c r="B45" s="28"/>
      <c r="C45" s="28"/>
      <c r="D45" s="28"/>
      <c r="E45" s="28"/>
    </row>
    <row r="46" ht="15.75" customHeight="1">
      <c r="A46" s="28"/>
      <c r="B46" s="28"/>
      <c r="C46" s="28"/>
      <c r="D46" s="28"/>
      <c r="E46" s="28"/>
    </row>
    <row r="47" ht="15.75" customHeight="1">
      <c r="A47" s="28"/>
      <c r="B47" s="28"/>
      <c r="C47" s="28"/>
      <c r="D47" s="28"/>
      <c r="E47" s="28"/>
    </row>
    <row r="48" ht="15.75" customHeight="1">
      <c r="A48" s="28"/>
      <c r="B48" s="28"/>
      <c r="C48" s="28"/>
      <c r="D48" s="28"/>
      <c r="E48" s="28"/>
    </row>
    <row r="49" ht="15.75" customHeight="1">
      <c r="A49" s="28"/>
      <c r="B49" s="28"/>
      <c r="C49" s="28"/>
      <c r="D49" s="28"/>
      <c r="E49" s="28"/>
    </row>
    <row r="50" ht="15.75" customHeight="1">
      <c r="A50" s="28"/>
      <c r="B50" s="28"/>
      <c r="C50" s="28"/>
      <c r="D50" s="28"/>
      <c r="E50" s="28"/>
    </row>
    <row r="51" ht="15.75" customHeight="1">
      <c r="A51" s="28"/>
      <c r="B51" s="28"/>
      <c r="C51" s="28"/>
      <c r="D51" s="28"/>
      <c r="E51" s="28"/>
    </row>
    <row r="52" ht="15.75" customHeight="1">
      <c r="A52" s="28"/>
      <c r="B52" s="28"/>
      <c r="C52" s="28"/>
      <c r="D52" s="28"/>
      <c r="E52" s="28"/>
    </row>
    <row r="53" ht="15.75" customHeight="1">
      <c r="A53" s="28"/>
      <c r="B53" s="28"/>
      <c r="C53" s="28"/>
      <c r="D53" s="28"/>
      <c r="E53" s="28"/>
    </row>
    <row r="54" ht="15.75" customHeight="1">
      <c r="A54" s="28"/>
      <c r="B54" s="28"/>
      <c r="C54" s="28"/>
      <c r="D54" s="28"/>
      <c r="E54" s="28"/>
    </row>
    <row r="55" ht="15.75" customHeight="1">
      <c r="A55" s="28"/>
      <c r="B55" s="28"/>
      <c r="C55" s="28"/>
      <c r="D55" s="28"/>
      <c r="E55" s="28"/>
    </row>
    <row r="56" ht="15.75" customHeight="1">
      <c r="A56" s="28"/>
      <c r="B56" s="28"/>
      <c r="C56" s="28"/>
      <c r="D56" s="28"/>
      <c r="E56" s="28"/>
    </row>
    <row r="57" ht="15.75" customHeight="1">
      <c r="A57" s="28"/>
      <c r="B57" s="28"/>
      <c r="C57" s="28"/>
      <c r="D57" s="28"/>
      <c r="E57" s="28"/>
    </row>
    <row r="58" ht="15.75" customHeight="1">
      <c r="A58" s="28"/>
      <c r="B58" s="28"/>
      <c r="C58" s="28"/>
      <c r="D58" s="28"/>
      <c r="E58" s="28"/>
    </row>
    <row r="59" ht="15.75" customHeight="1">
      <c r="A59" s="28"/>
      <c r="B59" s="28"/>
      <c r="C59" s="28"/>
      <c r="D59" s="28"/>
      <c r="E59" s="28"/>
    </row>
    <row r="60" ht="15.75" customHeight="1">
      <c r="A60" s="28"/>
      <c r="B60" s="28"/>
      <c r="C60" s="28"/>
      <c r="D60" s="28"/>
      <c r="E60" s="28"/>
    </row>
    <row r="61" ht="15.75" customHeight="1">
      <c r="A61" s="28"/>
      <c r="B61" s="28"/>
      <c r="C61" s="28"/>
      <c r="D61" s="28"/>
      <c r="E61" s="28"/>
    </row>
    <row r="62" ht="15.75" customHeight="1">
      <c r="A62" s="28"/>
      <c r="B62" s="28"/>
      <c r="C62" s="28"/>
      <c r="D62" s="28"/>
      <c r="E62" s="28"/>
    </row>
    <row r="63" ht="15.75" customHeight="1">
      <c r="A63" s="28"/>
      <c r="B63" s="28"/>
      <c r="C63" s="28"/>
      <c r="D63" s="28"/>
      <c r="E63" s="28"/>
    </row>
    <row r="64" ht="15.75" customHeight="1">
      <c r="A64" s="28"/>
      <c r="B64" s="28"/>
      <c r="C64" s="28"/>
      <c r="D64" s="28"/>
      <c r="E64" s="28"/>
    </row>
    <row r="65" ht="15.75" customHeight="1">
      <c r="A65" s="28"/>
      <c r="B65" s="28"/>
      <c r="C65" s="28"/>
      <c r="D65" s="28"/>
      <c r="E65" s="28"/>
    </row>
    <row r="66" ht="15.75" customHeight="1">
      <c r="A66" s="28"/>
      <c r="B66" s="28"/>
      <c r="C66" s="28"/>
      <c r="D66" s="28"/>
      <c r="E66" s="28"/>
    </row>
    <row r="67" ht="15.75" customHeight="1">
      <c r="A67" s="28"/>
      <c r="B67" s="28"/>
      <c r="C67" s="28"/>
      <c r="D67" s="28"/>
      <c r="E67" s="28"/>
    </row>
    <row r="68" ht="15.75" customHeight="1">
      <c r="A68" s="28"/>
      <c r="B68" s="28"/>
      <c r="C68" s="28"/>
      <c r="D68" s="28"/>
      <c r="E68" s="28"/>
    </row>
    <row r="69" ht="15.75" customHeight="1">
      <c r="A69" s="28"/>
      <c r="B69" s="28"/>
      <c r="C69" s="28"/>
      <c r="D69" s="28"/>
      <c r="E69" s="28"/>
    </row>
    <row r="70" ht="15.75" customHeight="1">
      <c r="A70" s="28"/>
      <c r="B70" s="28"/>
      <c r="C70" s="28"/>
      <c r="D70" s="28"/>
      <c r="E70" s="28"/>
    </row>
    <row r="71" ht="15.75" customHeight="1">
      <c r="A71" s="28"/>
      <c r="B71" s="28"/>
      <c r="C71" s="28"/>
      <c r="D71" s="28"/>
      <c r="E71" s="28"/>
    </row>
    <row r="72" ht="15.75" customHeight="1">
      <c r="A72" s="28"/>
      <c r="B72" s="28"/>
      <c r="C72" s="28"/>
      <c r="D72" s="28"/>
      <c r="E72" s="28"/>
    </row>
    <row r="73" ht="15.75" customHeight="1">
      <c r="A73" s="28"/>
      <c r="B73" s="28"/>
      <c r="C73" s="28"/>
      <c r="D73" s="28"/>
      <c r="E73" s="28"/>
    </row>
    <row r="74" ht="15.75" customHeight="1">
      <c r="A74" s="28"/>
      <c r="B74" s="28"/>
      <c r="C74" s="28"/>
      <c r="D74" s="28"/>
      <c r="E74" s="28"/>
    </row>
    <row r="75" ht="15.75" customHeight="1">
      <c r="A75" s="28"/>
      <c r="B75" s="28"/>
      <c r="C75" s="28"/>
      <c r="D75" s="28"/>
      <c r="E75" s="28"/>
    </row>
    <row r="76" ht="15.75" customHeight="1">
      <c r="A76" s="28"/>
      <c r="B76" s="28"/>
      <c r="C76" s="28"/>
      <c r="D76" s="28"/>
      <c r="E76" s="28"/>
    </row>
    <row r="77" ht="15.75" customHeight="1">
      <c r="A77" s="28"/>
      <c r="B77" s="28"/>
      <c r="C77" s="28"/>
      <c r="D77" s="28"/>
      <c r="E77" s="28"/>
    </row>
    <row r="78" ht="15.75" customHeight="1">
      <c r="A78" s="28"/>
      <c r="B78" s="28"/>
      <c r="C78" s="28"/>
      <c r="D78" s="28"/>
      <c r="E78" s="28"/>
    </row>
    <row r="79" ht="15.75" customHeight="1">
      <c r="A79" s="28"/>
      <c r="B79" s="28"/>
      <c r="C79" s="28"/>
      <c r="D79" s="28"/>
      <c r="E79" s="28"/>
    </row>
    <row r="80" ht="15.75" customHeight="1">
      <c r="A80" s="28"/>
      <c r="B80" s="28"/>
      <c r="C80" s="28"/>
      <c r="D80" s="28"/>
      <c r="E80" s="28"/>
    </row>
    <row r="81" ht="15.75" customHeight="1">
      <c r="A81" s="28"/>
      <c r="B81" s="28"/>
      <c r="C81" s="28"/>
      <c r="D81" s="28"/>
      <c r="E81" s="28"/>
    </row>
    <row r="82" ht="15.75" customHeight="1">
      <c r="A82" s="28"/>
      <c r="B82" s="28"/>
      <c r="C82" s="28"/>
      <c r="D82" s="28"/>
      <c r="E82" s="28"/>
    </row>
    <row r="83" ht="15.75" customHeight="1">
      <c r="A83" s="28"/>
      <c r="B83" s="28"/>
      <c r="C83" s="28"/>
      <c r="D83" s="28"/>
      <c r="E83" s="28"/>
    </row>
    <row r="84" ht="15.75" customHeight="1">
      <c r="A84" s="28"/>
      <c r="B84" s="28"/>
      <c r="C84" s="28"/>
      <c r="D84" s="28"/>
      <c r="E84" s="28"/>
    </row>
    <row r="85" ht="15.75" customHeight="1">
      <c r="A85" s="28"/>
      <c r="B85" s="28"/>
      <c r="C85" s="28"/>
      <c r="D85" s="28"/>
      <c r="E85" s="28"/>
    </row>
    <row r="86" ht="15.75" customHeight="1">
      <c r="A86" s="28"/>
      <c r="B86" s="28"/>
      <c r="C86" s="28"/>
      <c r="D86" s="28"/>
      <c r="E86" s="28"/>
    </row>
    <row r="87" ht="15.75" customHeight="1">
      <c r="A87" s="28"/>
      <c r="B87" s="28"/>
      <c r="C87" s="28"/>
      <c r="D87" s="28"/>
      <c r="E87" s="28"/>
    </row>
    <row r="88" ht="15.75" customHeight="1">
      <c r="A88" s="28"/>
      <c r="B88" s="28"/>
      <c r="C88" s="28"/>
      <c r="D88" s="28"/>
      <c r="E88" s="28"/>
    </row>
    <row r="89" ht="15.75" customHeight="1">
      <c r="A89" s="28"/>
      <c r="B89" s="28"/>
      <c r="C89" s="28"/>
      <c r="D89" s="28"/>
      <c r="E89" s="28"/>
    </row>
    <row r="90" ht="15.75" customHeight="1">
      <c r="A90" s="28"/>
      <c r="B90" s="28"/>
      <c r="C90" s="28"/>
      <c r="D90" s="28"/>
      <c r="E90" s="28"/>
    </row>
    <row r="91" ht="15.75" customHeight="1">
      <c r="A91" s="28"/>
      <c r="B91" s="28"/>
      <c r="C91" s="28"/>
      <c r="D91" s="28"/>
      <c r="E91" s="28"/>
    </row>
    <row r="92" ht="15.75" customHeight="1">
      <c r="A92" s="28"/>
      <c r="B92" s="28"/>
      <c r="C92" s="28"/>
      <c r="D92" s="28"/>
      <c r="E92" s="28"/>
    </row>
    <row r="93" ht="15.75" customHeight="1">
      <c r="A93" s="28"/>
      <c r="B93" s="28"/>
      <c r="C93" s="28"/>
      <c r="D93" s="28"/>
      <c r="E93" s="28"/>
    </row>
    <row r="94" ht="15.75" customHeight="1">
      <c r="A94" s="28"/>
      <c r="B94" s="28"/>
      <c r="C94" s="28"/>
      <c r="D94" s="28"/>
      <c r="E94" s="28"/>
    </row>
    <row r="95" ht="15.75" customHeight="1">
      <c r="A95" s="28"/>
      <c r="B95" s="28"/>
      <c r="C95" s="28"/>
      <c r="D95" s="28"/>
      <c r="E95" s="28"/>
    </row>
    <row r="96" ht="15.75" customHeight="1">
      <c r="A96" s="28"/>
      <c r="B96" s="28"/>
      <c r="C96" s="28"/>
      <c r="D96" s="28"/>
      <c r="E96" s="28"/>
    </row>
    <row r="97" ht="15.75" customHeight="1">
      <c r="A97" s="28"/>
      <c r="B97" s="28"/>
      <c r="C97" s="28"/>
      <c r="D97" s="28"/>
      <c r="E97" s="28"/>
    </row>
    <row r="98" ht="15.75" customHeight="1">
      <c r="A98" s="28"/>
      <c r="B98" s="28"/>
      <c r="C98" s="28"/>
      <c r="D98" s="28"/>
      <c r="E98" s="28"/>
    </row>
    <row r="99" ht="15.75" customHeight="1">
      <c r="A99" s="28"/>
      <c r="B99" s="28"/>
      <c r="C99" s="28"/>
      <c r="D99" s="28"/>
      <c r="E99" s="28"/>
    </row>
    <row r="100" ht="15.75" customHeight="1">
      <c r="A100" s="28"/>
      <c r="B100" s="28"/>
      <c r="C100" s="28"/>
      <c r="D100" s="28"/>
      <c r="E100" s="28"/>
    </row>
    <row r="101" ht="15.75" customHeight="1">
      <c r="A101" s="28"/>
      <c r="B101" s="28"/>
      <c r="C101" s="28"/>
      <c r="D101" s="28"/>
      <c r="E101" s="28"/>
    </row>
    <row r="102" ht="15.75" customHeight="1">
      <c r="A102" s="28"/>
      <c r="B102" s="28"/>
      <c r="C102" s="28"/>
      <c r="D102" s="28"/>
      <c r="E102" s="28"/>
    </row>
    <row r="103" ht="15.75" customHeight="1">
      <c r="A103" s="28"/>
      <c r="B103" s="28"/>
      <c r="C103" s="28"/>
      <c r="D103" s="28"/>
      <c r="E103" s="28"/>
    </row>
    <row r="104" ht="15.75" customHeight="1">
      <c r="A104" s="28"/>
      <c r="B104" s="28"/>
      <c r="C104" s="28"/>
      <c r="D104" s="28"/>
      <c r="E104" s="28"/>
    </row>
    <row r="105" ht="15.75" customHeight="1">
      <c r="A105" s="28"/>
      <c r="B105" s="28"/>
      <c r="C105" s="28"/>
      <c r="D105" s="28"/>
      <c r="E105" s="28"/>
    </row>
    <row r="106" ht="15.75" customHeight="1">
      <c r="A106" s="28"/>
      <c r="B106" s="28"/>
      <c r="C106" s="28"/>
      <c r="D106" s="28"/>
      <c r="E106" s="28"/>
    </row>
    <row r="107" ht="15.75" customHeight="1">
      <c r="A107" s="28"/>
      <c r="B107" s="28"/>
      <c r="C107" s="28"/>
      <c r="D107" s="28"/>
      <c r="E107" s="28"/>
    </row>
    <row r="108" ht="15.75" customHeight="1">
      <c r="A108" s="28"/>
      <c r="B108" s="28"/>
      <c r="C108" s="28"/>
      <c r="D108" s="28"/>
      <c r="E108" s="28"/>
    </row>
    <row r="109" ht="15.75" customHeight="1">
      <c r="A109" s="28"/>
      <c r="B109" s="28"/>
      <c r="C109" s="28"/>
      <c r="D109" s="28"/>
      <c r="E109" s="28"/>
    </row>
    <row r="110" ht="15.75" customHeight="1">
      <c r="A110" s="28"/>
      <c r="B110" s="28"/>
      <c r="C110" s="28"/>
      <c r="D110" s="28"/>
      <c r="E110" s="28"/>
    </row>
    <row r="111" ht="15.75" customHeight="1">
      <c r="A111" s="28"/>
      <c r="B111" s="28"/>
      <c r="C111" s="28"/>
      <c r="D111" s="28"/>
      <c r="E111" s="28"/>
    </row>
    <row r="112" ht="15.75" customHeight="1">
      <c r="A112" s="28"/>
      <c r="B112" s="28"/>
      <c r="C112" s="28"/>
      <c r="D112" s="28"/>
      <c r="E112" s="28"/>
    </row>
    <row r="113" ht="15.75" customHeight="1">
      <c r="A113" s="28"/>
      <c r="B113" s="28"/>
      <c r="C113" s="28"/>
      <c r="D113" s="28"/>
      <c r="E113" s="28"/>
    </row>
    <row r="114" ht="15.75" customHeight="1">
      <c r="A114" s="28"/>
      <c r="B114" s="28"/>
      <c r="C114" s="28"/>
      <c r="D114" s="28"/>
      <c r="E114" s="28"/>
    </row>
    <row r="115" ht="15.75" customHeight="1">
      <c r="A115" s="28"/>
      <c r="B115" s="28"/>
      <c r="C115" s="28"/>
      <c r="D115" s="28"/>
      <c r="E115" s="28"/>
    </row>
    <row r="116" ht="15.75" customHeight="1">
      <c r="A116" s="28"/>
      <c r="B116" s="28"/>
      <c r="C116" s="28"/>
      <c r="D116" s="28"/>
      <c r="E116" s="28"/>
    </row>
    <row r="117" ht="15.75" customHeight="1">
      <c r="A117" s="28"/>
      <c r="B117" s="28"/>
      <c r="C117" s="28"/>
      <c r="D117" s="28"/>
      <c r="E117" s="28"/>
    </row>
    <row r="118" ht="15.75" customHeight="1">
      <c r="A118" s="28"/>
      <c r="B118" s="28"/>
      <c r="C118" s="28"/>
      <c r="D118" s="28"/>
      <c r="E118" s="28"/>
    </row>
    <row r="119" ht="15.75" customHeight="1">
      <c r="A119" s="28"/>
      <c r="B119" s="28"/>
      <c r="C119" s="28"/>
      <c r="D119" s="28"/>
      <c r="E119" s="28"/>
    </row>
    <row r="120" ht="15.75" customHeight="1">
      <c r="A120" s="28"/>
      <c r="B120" s="28"/>
      <c r="C120" s="28"/>
      <c r="D120" s="28"/>
      <c r="E120" s="28"/>
    </row>
    <row r="121" ht="15.75" customHeight="1">
      <c r="A121" s="28"/>
      <c r="B121" s="28"/>
      <c r="C121" s="28"/>
      <c r="D121" s="28"/>
      <c r="E121" s="28"/>
    </row>
    <row r="122" ht="15.75" customHeight="1">
      <c r="A122" s="28"/>
      <c r="B122" s="28"/>
      <c r="C122" s="28"/>
      <c r="D122" s="28"/>
      <c r="E122" s="28"/>
    </row>
    <row r="123" ht="15.75" customHeight="1">
      <c r="A123" s="28"/>
      <c r="B123" s="28"/>
      <c r="C123" s="28"/>
      <c r="D123" s="28"/>
      <c r="E123" s="28"/>
    </row>
    <row r="124" ht="15.75" customHeight="1">
      <c r="A124" s="28"/>
      <c r="B124" s="28"/>
      <c r="C124" s="28"/>
      <c r="D124" s="28"/>
      <c r="E124" s="28"/>
    </row>
    <row r="125" ht="15.75" customHeight="1">
      <c r="A125" s="28"/>
      <c r="B125" s="28"/>
      <c r="C125" s="28"/>
      <c r="D125" s="28"/>
      <c r="E125" s="28"/>
    </row>
    <row r="126" ht="15.75" customHeight="1">
      <c r="A126" s="28"/>
      <c r="B126" s="28"/>
      <c r="C126" s="28"/>
      <c r="D126" s="28"/>
      <c r="E126" s="28"/>
    </row>
    <row r="127" ht="15.75" customHeight="1">
      <c r="A127" s="28"/>
      <c r="B127" s="28"/>
      <c r="C127" s="28"/>
      <c r="D127" s="28"/>
      <c r="E127" s="28"/>
    </row>
    <row r="128" ht="15.75" customHeight="1">
      <c r="A128" s="28"/>
      <c r="B128" s="28"/>
      <c r="C128" s="28"/>
      <c r="D128" s="28"/>
      <c r="E128" s="28"/>
    </row>
    <row r="129" ht="15.75" customHeight="1">
      <c r="A129" s="28"/>
      <c r="B129" s="28"/>
      <c r="C129" s="28"/>
      <c r="D129" s="28"/>
      <c r="E129" s="28"/>
    </row>
    <row r="130" ht="15.75" customHeight="1">
      <c r="A130" s="28"/>
      <c r="B130" s="28"/>
      <c r="C130" s="28"/>
      <c r="D130" s="28"/>
      <c r="E130" s="28"/>
    </row>
    <row r="131" ht="15.75" customHeight="1">
      <c r="A131" s="28"/>
      <c r="B131" s="28"/>
      <c r="C131" s="28"/>
      <c r="D131" s="28"/>
      <c r="E131" s="28"/>
    </row>
    <row r="132" ht="15.75" customHeight="1">
      <c r="A132" s="28"/>
      <c r="B132" s="28"/>
      <c r="C132" s="28"/>
      <c r="D132" s="28"/>
      <c r="E132" s="28"/>
    </row>
    <row r="133" ht="15.75" customHeight="1">
      <c r="A133" s="28"/>
      <c r="B133" s="28"/>
      <c r="C133" s="28"/>
      <c r="D133" s="28"/>
      <c r="E133" s="28"/>
    </row>
    <row r="134" ht="15.75" customHeight="1">
      <c r="A134" s="28"/>
      <c r="B134" s="28"/>
      <c r="C134" s="28"/>
      <c r="D134" s="28"/>
      <c r="E134" s="28"/>
    </row>
    <row r="135" ht="15.75" customHeight="1">
      <c r="A135" s="28"/>
      <c r="B135" s="28"/>
      <c r="C135" s="28"/>
      <c r="D135" s="28"/>
      <c r="E135" s="28"/>
    </row>
    <row r="136" ht="15.75" customHeight="1">
      <c r="A136" s="28"/>
      <c r="B136" s="28"/>
      <c r="C136" s="28"/>
      <c r="D136" s="28"/>
      <c r="E136" s="28"/>
    </row>
    <row r="137" ht="15.75" customHeight="1">
      <c r="A137" s="28"/>
      <c r="B137" s="28"/>
      <c r="C137" s="28"/>
      <c r="D137" s="28"/>
      <c r="E137" s="28"/>
    </row>
    <row r="138" ht="15.75" customHeight="1">
      <c r="A138" s="28"/>
      <c r="B138" s="28"/>
      <c r="C138" s="28"/>
      <c r="D138" s="28"/>
      <c r="E138" s="28"/>
    </row>
    <row r="139" ht="15.75" customHeight="1">
      <c r="A139" s="28"/>
      <c r="B139" s="28"/>
      <c r="C139" s="28"/>
      <c r="D139" s="28"/>
      <c r="E139" s="28"/>
    </row>
    <row r="140" ht="15.75" customHeight="1">
      <c r="A140" s="28"/>
      <c r="B140" s="28"/>
      <c r="C140" s="28"/>
      <c r="D140" s="28"/>
      <c r="E140" s="28"/>
    </row>
    <row r="141" ht="15.75" customHeight="1">
      <c r="A141" s="28"/>
      <c r="B141" s="28"/>
      <c r="C141" s="28"/>
      <c r="D141" s="28"/>
      <c r="E141" s="28"/>
    </row>
    <row r="142" ht="15.75" customHeight="1">
      <c r="A142" s="28"/>
      <c r="B142" s="28"/>
      <c r="C142" s="28"/>
      <c r="D142" s="28"/>
      <c r="E142" s="28"/>
    </row>
    <row r="143" ht="15.75" customHeight="1">
      <c r="A143" s="28"/>
      <c r="B143" s="28"/>
      <c r="C143" s="28"/>
      <c r="D143" s="28"/>
      <c r="E143" s="28"/>
    </row>
    <row r="144" ht="15.75" customHeight="1">
      <c r="A144" s="28"/>
      <c r="B144" s="28"/>
      <c r="C144" s="28"/>
      <c r="D144" s="28"/>
      <c r="E144" s="28"/>
    </row>
    <row r="145" ht="15.75" customHeight="1">
      <c r="A145" s="28"/>
      <c r="B145" s="28"/>
      <c r="C145" s="28"/>
      <c r="D145" s="28"/>
      <c r="E145" s="28"/>
    </row>
    <row r="146" ht="15.75" customHeight="1">
      <c r="A146" s="28"/>
      <c r="B146" s="28"/>
      <c r="C146" s="28"/>
      <c r="D146" s="28"/>
      <c r="E146" s="28"/>
    </row>
    <row r="147" ht="15.75" customHeight="1">
      <c r="A147" s="28"/>
      <c r="B147" s="28"/>
      <c r="C147" s="28"/>
      <c r="D147" s="28"/>
      <c r="E147" s="28"/>
    </row>
    <row r="148" ht="15.75" customHeight="1">
      <c r="A148" s="28"/>
      <c r="B148" s="28"/>
      <c r="C148" s="28"/>
      <c r="D148" s="28"/>
      <c r="E148" s="28"/>
    </row>
    <row r="149" ht="15.75" customHeight="1">
      <c r="A149" s="28"/>
      <c r="B149" s="28"/>
      <c r="C149" s="28"/>
      <c r="D149" s="28"/>
      <c r="E149" s="28"/>
    </row>
    <row r="150" ht="15.75" customHeight="1">
      <c r="A150" s="28"/>
      <c r="B150" s="28"/>
      <c r="C150" s="28"/>
      <c r="D150" s="28"/>
      <c r="E150" s="28"/>
    </row>
    <row r="151" ht="15.75" customHeight="1">
      <c r="A151" s="28"/>
      <c r="B151" s="28"/>
      <c r="C151" s="28"/>
      <c r="D151" s="28"/>
      <c r="E151" s="28"/>
    </row>
    <row r="152" ht="15.75" customHeight="1">
      <c r="A152" s="28"/>
      <c r="B152" s="28"/>
      <c r="C152" s="28"/>
      <c r="D152" s="28"/>
      <c r="E152" s="28"/>
    </row>
    <row r="153" ht="15.75" customHeight="1">
      <c r="A153" s="28"/>
      <c r="B153" s="28"/>
      <c r="C153" s="28"/>
      <c r="D153" s="28"/>
      <c r="E153" s="28"/>
    </row>
    <row r="154" ht="15.75" customHeight="1">
      <c r="A154" s="28"/>
      <c r="B154" s="28"/>
      <c r="C154" s="28"/>
      <c r="D154" s="28"/>
      <c r="E154" s="28"/>
    </row>
    <row r="155" ht="15.75" customHeight="1">
      <c r="A155" s="28"/>
      <c r="B155" s="28"/>
      <c r="C155" s="28"/>
      <c r="D155" s="28"/>
      <c r="E155" s="28"/>
    </row>
    <row r="156" ht="15.75" customHeight="1">
      <c r="A156" s="28"/>
      <c r="B156" s="28"/>
      <c r="C156" s="28"/>
      <c r="D156" s="28"/>
      <c r="E156" s="28"/>
    </row>
    <row r="157" ht="15.75" customHeight="1">
      <c r="A157" s="28"/>
      <c r="B157" s="28"/>
      <c r="C157" s="28"/>
      <c r="D157" s="28"/>
      <c r="E157" s="28"/>
    </row>
    <row r="158" ht="15.75" customHeight="1">
      <c r="A158" s="28"/>
      <c r="B158" s="28"/>
      <c r="C158" s="28"/>
      <c r="D158" s="28"/>
      <c r="E158" s="28"/>
    </row>
    <row r="159" ht="15.75" customHeight="1">
      <c r="A159" s="28"/>
      <c r="B159" s="28"/>
      <c r="C159" s="28"/>
      <c r="D159" s="28"/>
      <c r="E159" s="28"/>
    </row>
    <row r="160" ht="15.75" customHeight="1">
      <c r="A160" s="28"/>
      <c r="B160" s="28"/>
      <c r="C160" s="28"/>
      <c r="D160" s="28"/>
      <c r="E160" s="28"/>
    </row>
    <row r="161" ht="15.75" customHeight="1">
      <c r="A161" s="28"/>
      <c r="B161" s="28"/>
      <c r="C161" s="28"/>
      <c r="D161" s="28"/>
      <c r="E161" s="28"/>
    </row>
    <row r="162" ht="15.75" customHeight="1">
      <c r="A162" s="28"/>
      <c r="B162" s="28"/>
      <c r="C162" s="28"/>
      <c r="D162" s="28"/>
      <c r="E162" s="28"/>
    </row>
    <row r="163" ht="15.75" customHeight="1">
      <c r="A163" s="28"/>
      <c r="B163" s="28"/>
      <c r="C163" s="28"/>
      <c r="D163" s="28"/>
      <c r="E163" s="28"/>
    </row>
    <row r="164" ht="15.75" customHeight="1">
      <c r="A164" s="28"/>
      <c r="B164" s="28"/>
      <c r="C164" s="28"/>
      <c r="D164" s="28"/>
      <c r="E164" s="28"/>
    </row>
    <row r="165" ht="15.75" customHeight="1">
      <c r="A165" s="28"/>
      <c r="B165" s="28"/>
      <c r="C165" s="28"/>
      <c r="D165" s="28"/>
      <c r="E165" s="28"/>
    </row>
    <row r="166" ht="15.75" customHeight="1">
      <c r="A166" s="28"/>
      <c r="B166" s="28"/>
      <c r="C166" s="28"/>
      <c r="D166" s="28"/>
      <c r="E166" s="28"/>
    </row>
    <row r="167" ht="15.75" customHeight="1">
      <c r="A167" s="28"/>
      <c r="B167" s="28"/>
      <c r="C167" s="28"/>
      <c r="D167" s="28"/>
      <c r="E167" s="28"/>
    </row>
    <row r="168" ht="15.75" customHeight="1">
      <c r="A168" s="28"/>
      <c r="B168" s="28"/>
      <c r="C168" s="28"/>
      <c r="D168" s="28"/>
      <c r="E168" s="28"/>
    </row>
    <row r="169" ht="15.75" customHeight="1">
      <c r="A169" s="28"/>
      <c r="B169" s="28"/>
      <c r="C169" s="28"/>
      <c r="D169" s="28"/>
      <c r="E169" s="28"/>
    </row>
    <row r="170" ht="15.75" customHeight="1">
      <c r="A170" s="28"/>
      <c r="B170" s="28"/>
      <c r="C170" s="28"/>
      <c r="D170" s="28"/>
      <c r="E170" s="28"/>
    </row>
    <row r="171" ht="15.75" customHeight="1">
      <c r="A171" s="28"/>
      <c r="B171" s="28"/>
      <c r="C171" s="28"/>
      <c r="D171" s="28"/>
      <c r="E171" s="28"/>
    </row>
    <row r="172" ht="15.75" customHeight="1">
      <c r="A172" s="28"/>
      <c r="B172" s="28"/>
      <c r="C172" s="28"/>
      <c r="D172" s="28"/>
      <c r="E172" s="28"/>
    </row>
    <row r="173" ht="15.75" customHeight="1">
      <c r="A173" s="28"/>
      <c r="B173" s="28"/>
      <c r="C173" s="28"/>
      <c r="D173" s="28"/>
      <c r="E173" s="28"/>
    </row>
    <row r="174" ht="15.75" customHeight="1">
      <c r="A174" s="28"/>
      <c r="B174" s="28"/>
      <c r="C174" s="28"/>
      <c r="D174" s="28"/>
      <c r="E174" s="28"/>
    </row>
    <row r="175" ht="15.75" customHeight="1">
      <c r="A175" s="28"/>
      <c r="B175" s="28"/>
      <c r="C175" s="28"/>
      <c r="D175" s="28"/>
      <c r="E175" s="28"/>
    </row>
    <row r="176" ht="15.75" customHeight="1">
      <c r="A176" s="28"/>
      <c r="B176" s="28"/>
      <c r="C176" s="28"/>
      <c r="D176" s="28"/>
      <c r="E176" s="28"/>
    </row>
    <row r="177" ht="15.75" customHeight="1">
      <c r="A177" s="28"/>
      <c r="B177" s="28"/>
      <c r="C177" s="28"/>
      <c r="D177" s="28"/>
      <c r="E177" s="28"/>
    </row>
    <row r="178" ht="15.75" customHeight="1">
      <c r="A178" s="28"/>
      <c r="B178" s="28"/>
      <c r="C178" s="28"/>
      <c r="D178" s="28"/>
      <c r="E178" s="28"/>
    </row>
    <row r="179" ht="15.75" customHeight="1">
      <c r="A179" s="28"/>
      <c r="B179" s="28"/>
      <c r="C179" s="28"/>
      <c r="D179" s="28"/>
      <c r="E179" s="28"/>
    </row>
    <row r="180" ht="15.75" customHeight="1">
      <c r="A180" s="28"/>
      <c r="B180" s="28"/>
      <c r="C180" s="28"/>
      <c r="D180" s="28"/>
      <c r="E180" s="28"/>
    </row>
    <row r="181" ht="15.75" customHeight="1">
      <c r="A181" s="28"/>
      <c r="B181" s="28"/>
      <c r="C181" s="28"/>
      <c r="D181" s="28"/>
      <c r="E181" s="28"/>
    </row>
    <row r="182" ht="15.75" customHeight="1">
      <c r="A182" s="28"/>
      <c r="B182" s="28"/>
      <c r="C182" s="28"/>
      <c r="D182" s="28"/>
      <c r="E182" s="28"/>
    </row>
    <row r="183" ht="15.75" customHeight="1">
      <c r="A183" s="28"/>
      <c r="B183" s="28"/>
      <c r="C183" s="28"/>
      <c r="D183" s="28"/>
      <c r="E183" s="28"/>
    </row>
    <row r="184" ht="15.75" customHeight="1">
      <c r="A184" s="28"/>
      <c r="B184" s="28"/>
      <c r="C184" s="28"/>
      <c r="D184" s="28"/>
      <c r="E184" s="28"/>
    </row>
    <row r="185" ht="15.75" customHeight="1">
      <c r="A185" s="28"/>
      <c r="B185" s="28"/>
      <c r="C185" s="28"/>
      <c r="D185" s="28"/>
      <c r="E185" s="28"/>
    </row>
    <row r="186" ht="15.75" customHeight="1">
      <c r="A186" s="28"/>
      <c r="B186" s="28"/>
      <c r="C186" s="28"/>
      <c r="D186" s="28"/>
      <c r="E186" s="28"/>
    </row>
    <row r="187" ht="15.75" customHeight="1">
      <c r="A187" s="28"/>
      <c r="B187" s="28"/>
      <c r="C187" s="28"/>
      <c r="D187" s="28"/>
      <c r="E187" s="28"/>
    </row>
    <row r="188" ht="15.75" customHeight="1">
      <c r="A188" s="28"/>
      <c r="B188" s="28"/>
      <c r="C188" s="28"/>
      <c r="D188" s="28"/>
      <c r="E188" s="28"/>
    </row>
    <row r="189" ht="15.75" customHeight="1">
      <c r="A189" s="28"/>
      <c r="B189" s="28"/>
      <c r="C189" s="28"/>
      <c r="D189" s="28"/>
      <c r="E189" s="28"/>
    </row>
    <row r="190" ht="15.75" customHeight="1">
      <c r="A190" s="28"/>
      <c r="B190" s="28"/>
      <c r="C190" s="28"/>
      <c r="D190" s="28"/>
      <c r="E190" s="28"/>
    </row>
    <row r="191" ht="15.75" customHeight="1">
      <c r="A191" s="28"/>
      <c r="B191" s="28"/>
      <c r="C191" s="28"/>
      <c r="D191" s="28"/>
      <c r="E191" s="28"/>
    </row>
    <row r="192" ht="15.75" customHeight="1">
      <c r="A192" s="28"/>
      <c r="B192" s="28"/>
      <c r="C192" s="28"/>
      <c r="D192" s="28"/>
      <c r="E192" s="28"/>
    </row>
    <row r="193" ht="15.75" customHeight="1">
      <c r="A193" s="28"/>
      <c r="B193" s="28"/>
      <c r="C193" s="28"/>
      <c r="D193" s="28"/>
      <c r="E193" s="28"/>
    </row>
    <row r="194" ht="15.75" customHeight="1">
      <c r="A194" s="28"/>
      <c r="B194" s="28"/>
      <c r="C194" s="28"/>
      <c r="D194" s="28"/>
      <c r="E194" s="28"/>
    </row>
    <row r="195" ht="15.75" customHeight="1">
      <c r="A195" s="28"/>
      <c r="B195" s="28"/>
      <c r="C195" s="28"/>
      <c r="D195" s="28"/>
      <c r="E195" s="28"/>
    </row>
    <row r="196" ht="15.75" customHeight="1">
      <c r="A196" s="28"/>
      <c r="B196" s="28"/>
      <c r="C196" s="28"/>
      <c r="D196" s="28"/>
      <c r="E196" s="28"/>
    </row>
    <row r="197" ht="15.75" customHeight="1">
      <c r="A197" s="28"/>
      <c r="B197" s="28"/>
      <c r="C197" s="28"/>
      <c r="D197" s="28"/>
      <c r="E197" s="28"/>
    </row>
    <row r="198" ht="15.75" customHeight="1">
      <c r="A198" s="28"/>
      <c r="B198" s="28"/>
      <c r="C198" s="28"/>
      <c r="D198" s="28"/>
      <c r="E198" s="28"/>
    </row>
    <row r="199" ht="15.75" customHeight="1">
      <c r="A199" s="28"/>
      <c r="B199" s="28"/>
      <c r="C199" s="28"/>
      <c r="D199" s="28"/>
      <c r="E199" s="28"/>
    </row>
    <row r="200" ht="15.75" customHeight="1">
      <c r="A200" s="28"/>
      <c r="B200" s="28"/>
      <c r="C200" s="28"/>
      <c r="D200" s="28"/>
      <c r="E200" s="28"/>
    </row>
    <row r="201" ht="15.75" customHeight="1">
      <c r="A201" s="28"/>
      <c r="B201" s="28"/>
      <c r="C201" s="28"/>
      <c r="D201" s="28"/>
      <c r="E201" s="28"/>
    </row>
    <row r="202" ht="15.75" customHeight="1">
      <c r="A202" s="28"/>
      <c r="B202" s="28"/>
      <c r="C202" s="28"/>
      <c r="D202" s="28"/>
      <c r="E202" s="28"/>
    </row>
    <row r="203" ht="15.75" customHeight="1">
      <c r="A203" s="28"/>
      <c r="B203" s="28"/>
      <c r="C203" s="28"/>
      <c r="D203" s="28"/>
      <c r="E203" s="28"/>
    </row>
    <row r="204" ht="15.75" customHeight="1">
      <c r="A204" s="28"/>
      <c r="B204" s="28"/>
      <c r="C204" s="28"/>
      <c r="D204" s="28"/>
      <c r="E204" s="28"/>
    </row>
    <row r="205" ht="15.75" customHeight="1">
      <c r="A205" s="28"/>
      <c r="B205" s="28"/>
      <c r="C205" s="28"/>
      <c r="D205" s="28"/>
      <c r="E205" s="28"/>
    </row>
    <row r="206" ht="15.75" customHeight="1">
      <c r="A206" s="28"/>
      <c r="B206" s="28"/>
      <c r="C206" s="28"/>
      <c r="D206" s="28"/>
      <c r="E206" s="28"/>
    </row>
    <row r="207" ht="15.75" customHeight="1">
      <c r="A207" s="28"/>
      <c r="B207" s="28"/>
      <c r="C207" s="28"/>
      <c r="D207" s="28"/>
      <c r="E207" s="28"/>
    </row>
    <row r="208" ht="15.75" customHeight="1">
      <c r="A208" s="28"/>
      <c r="B208" s="28"/>
      <c r="C208" s="28"/>
      <c r="D208" s="28"/>
      <c r="E208" s="28"/>
    </row>
    <row r="209" ht="15.75" customHeight="1">
      <c r="A209" s="28"/>
      <c r="B209" s="28"/>
      <c r="C209" s="28"/>
      <c r="D209" s="28"/>
      <c r="E209" s="28"/>
    </row>
    <row r="210" ht="15.75" customHeight="1">
      <c r="A210" s="28"/>
      <c r="B210" s="28"/>
      <c r="C210" s="28"/>
      <c r="D210" s="28"/>
      <c r="E210" s="28"/>
    </row>
    <row r="211" ht="15.75" customHeight="1">
      <c r="A211" s="28"/>
      <c r="B211" s="28"/>
      <c r="C211" s="28"/>
      <c r="D211" s="28"/>
      <c r="E211" s="28"/>
    </row>
    <row r="212" ht="15.75" customHeight="1">
      <c r="A212" s="28"/>
      <c r="B212" s="28"/>
      <c r="C212" s="28"/>
      <c r="D212" s="28"/>
      <c r="E212" s="28"/>
    </row>
    <row r="213" ht="15.75" customHeight="1">
      <c r="A213" s="28"/>
      <c r="B213" s="28"/>
      <c r="C213" s="28"/>
      <c r="D213" s="28"/>
      <c r="E213" s="28"/>
    </row>
    <row r="214" ht="15.75" customHeight="1">
      <c r="A214" s="28"/>
      <c r="B214" s="28"/>
      <c r="C214" s="28"/>
      <c r="D214" s="28"/>
      <c r="E214" s="28"/>
    </row>
    <row r="215" ht="15.75" customHeight="1">
      <c r="A215" s="28"/>
      <c r="B215" s="28"/>
      <c r="C215" s="28"/>
      <c r="D215" s="28"/>
      <c r="E215" s="28"/>
    </row>
    <row r="216" ht="15.75" customHeight="1">
      <c r="A216" s="28"/>
      <c r="B216" s="28"/>
      <c r="C216" s="28"/>
      <c r="D216" s="28"/>
      <c r="E216" s="28"/>
    </row>
    <row r="217" ht="15.75" customHeight="1">
      <c r="A217" s="28"/>
      <c r="B217" s="28"/>
      <c r="C217" s="28"/>
      <c r="D217" s="28"/>
      <c r="E217" s="28"/>
    </row>
    <row r="218" ht="15.75" customHeight="1">
      <c r="A218" s="28"/>
      <c r="B218" s="28"/>
      <c r="C218" s="28"/>
      <c r="D218" s="28"/>
      <c r="E218" s="28"/>
    </row>
    <row r="219" ht="15.75" customHeight="1">
      <c r="A219" s="28"/>
      <c r="B219" s="28"/>
      <c r="C219" s="28"/>
      <c r="D219" s="28"/>
      <c r="E219" s="28"/>
    </row>
    <row r="220" ht="15.75" customHeight="1">
      <c r="A220" s="28"/>
      <c r="B220" s="28"/>
      <c r="C220" s="28"/>
      <c r="D220" s="28"/>
      <c r="E220" s="28"/>
    </row>
    <row r="221" ht="15.75" customHeight="1">
      <c r="A221" s="28"/>
      <c r="B221" s="28"/>
      <c r="C221" s="28"/>
      <c r="D221" s="28"/>
      <c r="E221" s="28"/>
    </row>
    <row r="222" ht="15.75" customHeight="1">
      <c r="A222" s="28"/>
      <c r="B222" s="28"/>
      <c r="C222" s="28"/>
      <c r="D222" s="28"/>
      <c r="E222" s="28"/>
    </row>
    <row r="223" ht="15.75" customHeight="1">
      <c r="A223" s="28"/>
      <c r="B223" s="28"/>
      <c r="C223" s="28"/>
      <c r="D223" s="28"/>
      <c r="E223" s="28"/>
    </row>
    <row r="224" ht="15.75" customHeight="1">
      <c r="A224" s="28"/>
      <c r="B224" s="28"/>
      <c r="C224" s="28"/>
      <c r="D224" s="28"/>
      <c r="E224" s="28"/>
    </row>
    <row r="225" ht="15.75" customHeight="1">
      <c r="A225" s="28"/>
      <c r="B225" s="28"/>
      <c r="C225" s="28"/>
      <c r="D225" s="28"/>
      <c r="E225" s="28"/>
    </row>
    <row r="226" ht="15.75" customHeight="1">
      <c r="A226" s="28"/>
      <c r="B226" s="28"/>
      <c r="C226" s="28"/>
      <c r="D226" s="28"/>
      <c r="E226" s="28"/>
    </row>
    <row r="227" ht="15.75" customHeight="1">
      <c r="A227" s="28"/>
      <c r="B227" s="28"/>
      <c r="C227" s="28"/>
      <c r="D227" s="28"/>
      <c r="E227" s="28"/>
    </row>
    <row r="228" ht="15.75" customHeight="1">
      <c r="A228" s="28"/>
      <c r="B228" s="28"/>
      <c r="C228" s="28"/>
      <c r="D228" s="28"/>
      <c r="E228" s="28"/>
    </row>
    <row r="229" ht="15.75" customHeight="1">
      <c r="A229" s="28"/>
      <c r="B229" s="28"/>
      <c r="C229" s="28"/>
      <c r="D229" s="28"/>
      <c r="E229" s="28"/>
    </row>
    <row r="230" ht="15.75" customHeight="1">
      <c r="A230" s="28"/>
      <c r="B230" s="28"/>
      <c r="C230" s="28"/>
      <c r="D230" s="28"/>
      <c r="E230" s="28"/>
    </row>
    <row r="231" ht="15.75" customHeight="1">
      <c r="A231" s="28"/>
      <c r="B231" s="28"/>
      <c r="C231" s="28"/>
      <c r="D231" s="28"/>
      <c r="E231" s="28"/>
    </row>
    <row r="232" ht="15.75" customHeight="1">
      <c r="A232" s="28"/>
      <c r="B232" s="28"/>
      <c r="C232" s="28"/>
      <c r="D232" s="28"/>
      <c r="E232" s="28"/>
    </row>
    <row r="233" ht="15.75" customHeight="1">
      <c r="A233" s="28"/>
      <c r="B233" s="28"/>
      <c r="C233" s="28"/>
      <c r="D233" s="28"/>
      <c r="E233" s="28"/>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7">
    <mergeCell ref="B2:D2"/>
    <mergeCell ref="B3:D3"/>
    <mergeCell ref="B4:D4"/>
    <mergeCell ref="B6:D6"/>
    <mergeCell ref="C7:D7"/>
    <mergeCell ref="C8:D8"/>
    <mergeCell ref="C9:D9"/>
    <mergeCell ref="B11:D11"/>
    <mergeCell ref="C12:D12"/>
    <mergeCell ref="C13:D13"/>
    <mergeCell ref="C14:D14"/>
    <mergeCell ref="C15:D15"/>
    <mergeCell ref="C16:D16"/>
    <mergeCell ref="C17:D17"/>
    <mergeCell ref="C27:D27"/>
    <mergeCell ref="C28:D28"/>
    <mergeCell ref="C30:D30"/>
    <mergeCell ref="C31:D31"/>
    <mergeCell ref="C32:D32"/>
    <mergeCell ref="C33:D33"/>
    <mergeCell ref="B19:D19"/>
    <mergeCell ref="C20:D20"/>
    <mergeCell ref="C21:D21"/>
    <mergeCell ref="C22:D22"/>
    <mergeCell ref="C23:D23"/>
    <mergeCell ref="C24:D24"/>
    <mergeCell ref="B26:D26"/>
  </mergeCells>
  <hyperlinks>
    <hyperlink r:id="rId1" ref="C27"/>
    <hyperlink r:id="rId2" ref="C28"/>
    <hyperlink r:id="rId3" ref="C29"/>
    <hyperlink r:id="rId4" ref="C30"/>
    <hyperlink r:id="rId5" ref="C31"/>
    <hyperlink r:id="rId6" ref="C32"/>
    <hyperlink r:id="rId7" ref="C33"/>
  </hyperlinks>
  <printOptions/>
  <pageMargins bottom="1.0" footer="0.0" header="0.0" left="0.75" right="0.75" top="1.0"/>
  <pageSetup paperSize="9" orientation="portrait"/>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0"/>
    <col customWidth="1" min="3" max="3" width="46.29"/>
    <col customWidth="1" min="4" max="5" width="9.0"/>
    <col customWidth="1" min="6" max="6" width="11.43"/>
    <col customWidth="1" min="7" max="7" width="7.29"/>
    <col customWidth="1" min="8" max="8" width="8.86"/>
    <col customWidth="1" min="9" max="9" width="6.86"/>
    <col customWidth="1" min="10" max="10" width="7.14"/>
    <col customWidth="1" min="11" max="11" width="5.71"/>
    <col customWidth="1" min="12" max="13" width="8.43"/>
    <col customWidth="1" min="14" max="14" width="10.57"/>
    <col customWidth="1" min="15" max="15" width="5.0"/>
    <col customWidth="1" min="16" max="16" width="5.71"/>
    <col customWidth="1" min="17" max="17" width="44.29"/>
    <col customWidth="1" min="18" max="18" width="8.0"/>
    <col customWidth="1" min="19" max="19" width="8.71"/>
    <col customWidth="1" min="20" max="20" width="11.86"/>
    <col customWidth="1" min="21" max="21" width="10.0"/>
    <col customWidth="1" min="22" max="22" width="9.14"/>
    <col customWidth="1" min="23" max="23" width="7.71"/>
    <col customWidth="1" min="24" max="24" width="9.0"/>
    <col customWidth="1" min="25" max="25" width="8.0"/>
    <col customWidth="1" min="26" max="26" width="8.14"/>
    <col customWidth="1" min="27" max="27" width="9.43"/>
    <col customWidth="1" min="28" max="28" width="11.71"/>
  </cols>
  <sheetData>
    <row r="1" ht="7.5" customHeight="1">
      <c r="A1" s="28"/>
      <c r="B1" s="28"/>
      <c r="C1" s="28"/>
      <c r="D1" s="28"/>
      <c r="E1" s="28"/>
      <c r="F1" s="28"/>
      <c r="G1" s="28"/>
      <c r="H1" s="28"/>
      <c r="I1" s="28"/>
      <c r="J1" s="28"/>
      <c r="K1" s="28"/>
      <c r="L1" s="28"/>
      <c r="M1" s="28"/>
      <c r="N1" s="28"/>
      <c r="O1" s="28"/>
    </row>
    <row r="2" ht="30.0" customHeight="1">
      <c r="A2" s="28"/>
      <c r="B2" s="69" t="s">
        <v>89</v>
      </c>
      <c r="C2" s="30"/>
      <c r="D2" s="30"/>
      <c r="E2" s="30"/>
      <c r="F2" s="30"/>
      <c r="G2" s="30"/>
      <c r="H2" s="30"/>
      <c r="I2" s="30"/>
      <c r="J2" s="30"/>
      <c r="K2" s="30"/>
      <c r="L2" s="30"/>
      <c r="M2" s="30"/>
      <c r="N2" s="3"/>
      <c r="O2" s="28"/>
      <c r="P2" s="70" t="s">
        <v>90</v>
      </c>
      <c r="Q2" s="30"/>
      <c r="R2" s="30"/>
      <c r="S2" s="30"/>
      <c r="T2" s="30"/>
      <c r="U2" s="30"/>
      <c r="V2" s="30"/>
      <c r="W2" s="30"/>
      <c r="X2" s="30"/>
      <c r="Y2" s="30"/>
      <c r="Z2" s="30"/>
      <c r="AA2" s="30"/>
      <c r="AB2" s="3"/>
      <c r="AC2" s="71"/>
    </row>
    <row r="3" ht="15.75" customHeight="1">
      <c r="A3" s="28"/>
      <c r="B3" s="72" t="s">
        <v>91</v>
      </c>
      <c r="C3" s="30"/>
      <c r="D3" s="30"/>
      <c r="E3" s="30"/>
      <c r="F3" s="30"/>
      <c r="G3" s="30"/>
      <c r="H3" s="30"/>
      <c r="I3" s="30"/>
      <c r="J3" s="30"/>
      <c r="K3" s="30"/>
      <c r="L3" s="30"/>
      <c r="M3" s="30"/>
      <c r="N3" s="3"/>
      <c r="O3" s="28"/>
      <c r="P3" s="73" t="s">
        <v>91</v>
      </c>
      <c r="Q3" s="30"/>
      <c r="R3" s="30"/>
      <c r="S3" s="30"/>
      <c r="T3" s="30"/>
      <c r="U3" s="30"/>
      <c r="V3" s="30"/>
      <c r="W3" s="30"/>
      <c r="X3" s="30"/>
      <c r="Y3" s="30"/>
      <c r="Z3" s="30"/>
      <c r="AA3" s="30"/>
      <c r="AB3" s="3"/>
      <c r="AC3" s="74"/>
    </row>
    <row r="4">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row>
    <row r="5" ht="19.5" customHeight="1">
      <c r="A5" s="28"/>
      <c r="B5" s="14" t="s">
        <v>92</v>
      </c>
      <c r="C5" s="14" t="s">
        <v>93</v>
      </c>
      <c r="D5" s="14" t="s">
        <v>94</v>
      </c>
      <c r="E5" s="14" t="s">
        <v>95</v>
      </c>
      <c r="F5" s="14" t="s">
        <v>96</v>
      </c>
      <c r="G5" s="14" t="s">
        <v>97</v>
      </c>
      <c r="H5" s="14" t="s">
        <v>98</v>
      </c>
      <c r="I5" s="14" t="s">
        <v>99</v>
      </c>
      <c r="J5" s="14" t="s">
        <v>100</v>
      </c>
      <c r="K5" s="14" t="s">
        <v>101</v>
      </c>
      <c r="L5" s="14" t="s">
        <v>102</v>
      </c>
      <c r="M5" s="14" t="s">
        <v>103</v>
      </c>
      <c r="N5" s="75" t="s">
        <v>104</v>
      </c>
      <c r="O5" s="28"/>
      <c r="P5" s="76" t="s">
        <v>92</v>
      </c>
      <c r="Q5" s="76" t="s">
        <v>93</v>
      </c>
      <c r="R5" s="76" t="s">
        <v>94</v>
      </c>
      <c r="S5" s="76" t="s">
        <v>95</v>
      </c>
      <c r="T5" s="76" t="s">
        <v>96</v>
      </c>
      <c r="U5" s="76" t="s">
        <v>97</v>
      </c>
      <c r="V5" s="76" t="s">
        <v>98</v>
      </c>
      <c r="W5" s="76" t="s">
        <v>99</v>
      </c>
      <c r="X5" s="76" t="s">
        <v>100</v>
      </c>
      <c r="Y5" s="76" t="s">
        <v>101</v>
      </c>
      <c r="Z5" s="76" t="s">
        <v>102</v>
      </c>
      <c r="AA5" s="76" t="s">
        <v>103</v>
      </c>
      <c r="AB5" s="77" t="s">
        <v>104</v>
      </c>
      <c r="AC5" s="78"/>
    </row>
    <row r="6" ht="27.75" customHeight="1">
      <c r="A6" s="28"/>
      <c r="B6" s="79"/>
      <c r="C6" s="79"/>
      <c r="D6" s="80" t="s">
        <v>105</v>
      </c>
      <c r="E6" s="80" t="s">
        <v>106</v>
      </c>
      <c r="F6" s="80" t="s">
        <v>107</v>
      </c>
      <c r="G6" s="80" t="s">
        <v>108</v>
      </c>
      <c r="H6" s="80" t="s">
        <v>109</v>
      </c>
      <c r="I6" s="80" t="s">
        <v>110</v>
      </c>
      <c r="J6" s="80" t="s">
        <v>111</v>
      </c>
      <c r="K6" s="80" t="s">
        <v>112</v>
      </c>
      <c r="L6" s="80" t="s">
        <v>113</v>
      </c>
      <c r="M6" s="80" t="s">
        <v>103</v>
      </c>
      <c r="N6" s="79"/>
      <c r="O6" s="28"/>
      <c r="P6" s="81"/>
      <c r="Q6" s="81"/>
      <c r="R6" s="82" t="s">
        <v>105</v>
      </c>
      <c r="S6" s="82" t="s">
        <v>106</v>
      </c>
      <c r="T6" s="82" t="s">
        <v>107</v>
      </c>
      <c r="U6" s="82" t="s">
        <v>108</v>
      </c>
      <c r="V6" s="82" t="s">
        <v>109</v>
      </c>
      <c r="W6" s="82" t="s">
        <v>110</v>
      </c>
      <c r="X6" s="82" t="s">
        <v>111</v>
      </c>
      <c r="Y6" s="82" t="s">
        <v>112</v>
      </c>
      <c r="Z6" s="82" t="s">
        <v>113</v>
      </c>
      <c r="AA6" s="82" t="s">
        <v>103</v>
      </c>
      <c r="AB6" s="81"/>
      <c r="AC6" s="83"/>
    </row>
    <row r="7" ht="18.0" customHeight="1">
      <c r="A7" s="28"/>
      <c r="B7" s="84">
        <v>1.0</v>
      </c>
      <c r="C7" s="85" t="s">
        <v>114</v>
      </c>
      <c r="D7" s="86">
        <f>'Case 1'!E81</f>
        <v>4</v>
      </c>
      <c r="E7" s="86">
        <f>'Case 1'!E82</f>
        <v>3</v>
      </c>
      <c r="F7" s="86">
        <f>'Case 1'!E83</f>
        <v>3</v>
      </c>
      <c r="G7" s="86">
        <f>'Case 1'!E84</f>
        <v>4</v>
      </c>
      <c r="H7" s="86">
        <f>'Case 1'!E85</f>
        <v>3</v>
      </c>
      <c r="I7" s="86">
        <f>'Case 1'!E86</f>
        <v>3</v>
      </c>
      <c r="J7" s="86">
        <f>'Case 1'!E87</f>
        <v>3</v>
      </c>
      <c r="K7" s="86">
        <f>'Case 1'!E88</f>
        <v>3</v>
      </c>
      <c r="L7" s="86">
        <f>'Case 1'!E89</f>
        <v>4</v>
      </c>
      <c r="M7" s="87">
        <f t="shared" ref="M7:M20" si="1">IFERROR(AVERAGE(D7,E7,F7,G7,H7,I7,J7,K7,L7),"—")</f>
        <v>3.333333333</v>
      </c>
      <c r="N7" s="88"/>
      <c r="O7" s="28"/>
      <c r="P7" s="84">
        <v>1.0</v>
      </c>
      <c r="Q7" s="85" t="s">
        <v>114</v>
      </c>
      <c r="R7" s="86">
        <f>'Case 1'!L81</f>
        <v>4</v>
      </c>
      <c r="S7" s="86">
        <f>'Case 1'!L82</f>
        <v>3</v>
      </c>
      <c r="T7" s="86">
        <f>'Case 1'!L83</f>
        <v>3</v>
      </c>
      <c r="U7" s="86">
        <f>'Case 1'!L84</f>
        <v>4</v>
      </c>
      <c r="V7" s="86">
        <f>'Case 1'!L85</f>
        <v>3</v>
      </c>
      <c r="W7" s="86">
        <f>'Case 1'!L86</f>
        <v>3</v>
      </c>
      <c r="X7" s="86">
        <f>'Case 1'!L87</f>
        <v>3</v>
      </c>
      <c r="Y7" s="86">
        <f>'Case 1'!L88</f>
        <v>4</v>
      </c>
      <c r="Z7" s="86">
        <f>'Case 1'!L89</f>
        <v>4</v>
      </c>
      <c r="AA7" s="89">
        <f t="shared" ref="AA7:AA20" si="2">IFERROR(AVERAGE(R7,S7,T7,U7,V7,W7,X7,Y7,Z7),"—")</f>
        <v>3.444444444</v>
      </c>
      <c r="AB7" s="88"/>
      <c r="AC7" s="90"/>
    </row>
    <row r="8" ht="18.0" customHeight="1">
      <c r="A8" s="28"/>
      <c r="B8" s="91">
        <v>2.0</v>
      </c>
      <c r="C8" s="92" t="s">
        <v>115</v>
      </c>
      <c r="D8" s="93">
        <f>'Case 2'!E81</f>
        <v>3</v>
      </c>
      <c r="E8" s="93">
        <f>'Case 2'!E82</f>
        <v>3</v>
      </c>
      <c r="F8" s="93">
        <f>'Case 2'!E83</f>
        <v>4</v>
      </c>
      <c r="G8" s="93">
        <f>'Case 2'!E84</f>
        <v>4</v>
      </c>
      <c r="H8" s="93">
        <f>'Case 2'!E85</f>
        <v>3</v>
      </c>
      <c r="I8" s="93">
        <f>'Case 2'!E86</f>
        <v>3</v>
      </c>
      <c r="J8" s="93">
        <f>'Case 2'!E87</f>
        <v>3</v>
      </c>
      <c r="K8" s="93">
        <f>'Case 2'!E88</f>
        <v>3</v>
      </c>
      <c r="L8" s="93">
        <f>'Case 2'!E89</f>
        <v>4</v>
      </c>
      <c r="M8" s="94">
        <f t="shared" si="1"/>
        <v>3.333333333</v>
      </c>
      <c r="N8" s="88"/>
      <c r="O8" s="28"/>
      <c r="P8" s="95">
        <v>2.0</v>
      </c>
      <c r="Q8" s="96" t="s">
        <v>115</v>
      </c>
      <c r="R8" s="97">
        <f>'Case 2'!L81</f>
        <v>3</v>
      </c>
      <c r="S8" s="97">
        <f>'Case 2'!L82</f>
        <v>3</v>
      </c>
      <c r="T8" s="97">
        <f>'Case 2'!L83</f>
        <v>3</v>
      </c>
      <c r="U8" s="97">
        <f>'Case 2'!L84</f>
        <v>4</v>
      </c>
      <c r="V8" s="97">
        <f>'Case 2'!L85</f>
        <v>3</v>
      </c>
      <c r="W8" s="97">
        <f>'Case 2'!L86</f>
        <v>3</v>
      </c>
      <c r="X8" s="97">
        <f>'Case 2'!L87</f>
        <v>3</v>
      </c>
      <c r="Y8" s="97">
        <f>'Case 2'!L88</f>
        <v>4</v>
      </c>
      <c r="Z8" s="97">
        <f>'Case 2'!L89</f>
        <v>4</v>
      </c>
      <c r="AA8" s="98">
        <f t="shared" si="2"/>
        <v>3.333333333</v>
      </c>
      <c r="AB8" s="88"/>
      <c r="AC8" s="90"/>
    </row>
    <row r="9" ht="18.0" customHeight="1">
      <c r="A9" s="28"/>
      <c r="B9" s="84">
        <v>3.0</v>
      </c>
      <c r="C9" s="85" t="s">
        <v>116</v>
      </c>
      <c r="D9" s="86">
        <f>'Case 3'!E81</f>
        <v>3</v>
      </c>
      <c r="E9" s="86">
        <f>'Case 3'!E82</f>
        <v>4</v>
      </c>
      <c r="F9" s="86">
        <f>'Case 3'!E83</f>
        <v>4</v>
      </c>
      <c r="G9" s="86">
        <f>'Case 3'!E84</f>
        <v>4</v>
      </c>
      <c r="H9" s="86">
        <f>'Case 3'!E85</f>
        <v>3</v>
      </c>
      <c r="I9" s="86">
        <f>'Case 3'!E86</f>
        <v>3</v>
      </c>
      <c r="J9" s="86">
        <f>'Case 3'!E87</f>
        <v>3</v>
      </c>
      <c r="K9" s="86">
        <f>'Case 3'!E88</f>
        <v>3</v>
      </c>
      <c r="L9" s="86">
        <f>'Case 3'!E89</f>
        <v>4</v>
      </c>
      <c r="M9" s="87">
        <f t="shared" si="1"/>
        <v>3.444444444</v>
      </c>
      <c r="N9" s="88"/>
      <c r="O9" s="28"/>
      <c r="P9" s="84">
        <v>3.0</v>
      </c>
      <c r="Q9" s="85" t="s">
        <v>116</v>
      </c>
      <c r="R9" s="86">
        <f>'Case 3'!L81</f>
        <v>3</v>
      </c>
      <c r="S9" s="86">
        <f>'Case 3'!L82</f>
        <v>4</v>
      </c>
      <c r="T9" s="86">
        <f>'Case 3'!L83</f>
        <v>4</v>
      </c>
      <c r="U9" s="86">
        <f>'Case 3'!L84</f>
        <v>2</v>
      </c>
      <c r="V9" s="86">
        <f>'Case 3'!L85</f>
        <v>3</v>
      </c>
      <c r="W9" s="86">
        <f>'Case 3'!L86</f>
        <v>3</v>
      </c>
      <c r="X9" s="86">
        <f>'Case 3'!L87</f>
        <v>3</v>
      </c>
      <c r="Y9" s="86">
        <f>'Case 3'!L88</f>
        <v>4</v>
      </c>
      <c r="Z9" s="86">
        <f>'Case 3'!L89</f>
        <v>4</v>
      </c>
      <c r="AA9" s="89">
        <f t="shared" si="2"/>
        <v>3.333333333</v>
      </c>
      <c r="AB9" s="88"/>
      <c r="AC9" s="90"/>
    </row>
    <row r="10" ht="18.0" customHeight="1">
      <c r="A10" s="28"/>
      <c r="B10" s="91">
        <v>4.0</v>
      </c>
      <c r="C10" s="92" t="s">
        <v>117</v>
      </c>
      <c r="D10" s="93">
        <f>'Case 4'!E82</f>
        <v>3</v>
      </c>
      <c r="E10" s="93">
        <f>'Case 4'!E83</f>
        <v>3</v>
      </c>
      <c r="F10" s="93">
        <f>'Case 4'!E84</f>
        <v>3</v>
      </c>
      <c r="G10" s="93">
        <f>'Case 4'!E85</f>
        <v>4</v>
      </c>
      <c r="H10" s="93">
        <f>'Case 4'!E86</f>
        <v>3</v>
      </c>
      <c r="I10" s="93">
        <f>'Case 4'!E87</f>
        <v>3</v>
      </c>
      <c r="J10" s="93">
        <f>'Case 4'!E88</f>
        <v>3</v>
      </c>
      <c r="K10" s="93">
        <f>'Case 4'!E89</f>
        <v>3</v>
      </c>
      <c r="L10" s="93">
        <f>'Case 4'!E90</f>
        <v>4</v>
      </c>
      <c r="M10" s="94">
        <f t="shared" si="1"/>
        <v>3.222222222</v>
      </c>
      <c r="N10" s="88"/>
      <c r="O10" s="28"/>
      <c r="P10" s="95">
        <v>4.0</v>
      </c>
      <c r="Q10" s="96" t="s">
        <v>117</v>
      </c>
      <c r="R10" s="97">
        <f>'Case 4'!L82</f>
        <v>3</v>
      </c>
      <c r="S10" s="97">
        <f>'Case 4'!L83</f>
        <v>3</v>
      </c>
      <c r="T10" s="97">
        <f>'Case 4'!L84</f>
        <v>3</v>
      </c>
      <c r="U10" s="97">
        <f>'Case 4'!L85</f>
        <v>3</v>
      </c>
      <c r="V10" s="97">
        <f>'Case 4'!L86</f>
        <v>3</v>
      </c>
      <c r="W10" s="97">
        <f>'Case 4'!L87</f>
        <v>3</v>
      </c>
      <c r="X10" s="97">
        <f>'Case 4'!L88</f>
        <v>3</v>
      </c>
      <c r="Y10" s="97">
        <f>'Case 4'!L89</f>
        <v>4</v>
      </c>
      <c r="Z10" s="97">
        <f>'Case 4'!L90</f>
        <v>4</v>
      </c>
      <c r="AA10" s="98">
        <f t="shared" si="2"/>
        <v>3.222222222</v>
      </c>
      <c r="AB10" s="88"/>
      <c r="AC10" s="90"/>
    </row>
    <row r="11" ht="18.0" customHeight="1">
      <c r="A11" s="28"/>
      <c r="B11" s="84">
        <v>5.0</v>
      </c>
      <c r="C11" s="85" t="s">
        <v>118</v>
      </c>
      <c r="D11" s="86">
        <f>'Case 5'!E82</f>
        <v>3</v>
      </c>
      <c r="E11" s="86">
        <f>'Case 5'!E83</f>
        <v>3</v>
      </c>
      <c r="F11" s="86">
        <f>'Case 5'!E84</f>
        <v>4</v>
      </c>
      <c r="G11" s="86">
        <f>'Case 5'!E85</f>
        <v>4</v>
      </c>
      <c r="H11" s="86">
        <f>'Case 5'!E86</f>
        <v>4</v>
      </c>
      <c r="I11" s="86">
        <f>'Case 5'!E87</f>
        <v>4</v>
      </c>
      <c r="J11" s="86">
        <f>'Case 5'!E88</f>
        <v>3</v>
      </c>
      <c r="K11" s="86">
        <f>'Case 5'!E89</f>
        <v>3</v>
      </c>
      <c r="L11" s="86">
        <f>'Case 5'!E90</f>
        <v>4</v>
      </c>
      <c r="M11" s="87">
        <f t="shared" si="1"/>
        <v>3.555555556</v>
      </c>
      <c r="N11" s="88"/>
      <c r="O11" s="28"/>
      <c r="P11" s="84">
        <v>5.0</v>
      </c>
      <c r="Q11" s="85" t="s">
        <v>118</v>
      </c>
      <c r="R11" s="86">
        <f>'Case 5'!L82</f>
        <v>3</v>
      </c>
      <c r="S11" s="86">
        <f>'Case 5'!L83</f>
        <v>3</v>
      </c>
      <c r="T11" s="86">
        <f>'Case 5'!L84</f>
        <v>3</v>
      </c>
      <c r="U11" s="86">
        <f>'Case 5'!L85</f>
        <v>4</v>
      </c>
      <c r="V11" s="86">
        <f>'Case 5'!L86</f>
        <v>3</v>
      </c>
      <c r="W11" s="86">
        <f>'Case 5'!L87</f>
        <v>3</v>
      </c>
      <c r="X11" s="86">
        <f>'Case 5'!L88</f>
        <v>3</v>
      </c>
      <c r="Y11" s="86">
        <f>'Case 5'!L89</f>
        <v>4</v>
      </c>
      <c r="Z11" s="86">
        <f>'Case 5'!L90</f>
        <v>4</v>
      </c>
      <c r="AA11" s="89">
        <f t="shared" si="2"/>
        <v>3.333333333</v>
      </c>
      <c r="AB11" s="88"/>
      <c r="AC11" s="90"/>
    </row>
    <row r="12" ht="18.0" customHeight="1">
      <c r="A12" s="28"/>
      <c r="B12" s="91">
        <v>6.0</v>
      </c>
      <c r="C12" s="92" t="s">
        <v>119</v>
      </c>
      <c r="D12" s="93">
        <f>'Case 6'!E81</f>
        <v>3</v>
      </c>
      <c r="E12" s="93">
        <f>'Case 6'!E82</f>
        <v>3</v>
      </c>
      <c r="F12" s="93">
        <f>'Case 6'!E83</f>
        <v>3</v>
      </c>
      <c r="G12" s="93">
        <f>'Case 6'!E84</f>
        <v>3</v>
      </c>
      <c r="H12" s="93">
        <f>'Case 6'!E85</f>
        <v>3</v>
      </c>
      <c r="I12" s="93">
        <f>'Case 6'!E86</f>
        <v>3</v>
      </c>
      <c r="J12" s="93">
        <f>'Case 6'!E87</f>
        <v>3</v>
      </c>
      <c r="K12" s="93">
        <f>'Case 6'!E88</f>
        <v>3</v>
      </c>
      <c r="L12" s="93">
        <f>'Case 6'!E89</f>
        <v>4</v>
      </c>
      <c r="M12" s="94">
        <f t="shared" si="1"/>
        <v>3.111111111</v>
      </c>
      <c r="N12" s="88"/>
      <c r="O12" s="28"/>
      <c r="P12" s="95">
        <v>6.0</v>
      </c>
      <c r="Q12" s="96" t="s">
        <v>119</v>
      </c>
      <c r="R12" s="97">
        <f>'Case 6'!L81</f>
        <v>3</v>
      </c>
      <c r="S12" s="97">
        <f>'Case 6'!L82</f>
        <v>3</v>
      </c>
      <c r="T12" s="97">
        <f>'Case 6'!L83</f>
        <v>3</v>
      </c>
      <c r="U12" s="97">
        <f>'Case 6'!L84</f>
        <v>3</v>
      </c>
      <c r="V12" s="97">
        <f>'Case 6'!L85</f>
        <v>3</v>
      </c>
      <c r="W12" s="97">
        <f>'Case 6'!L86</f>
        <v>3</v>
      </c>
      <c r="X12" s="97">
        <f>'Case 6'!L87</f>
        <v>3</v>
      </c>
      <c r="Y12" s="97">
        <f>'Case 6'!L88</f>
        <v>4</v>
      </c>
      <c r="Z12" s="97">
        <f>'Case 6'!L89</f>
        <v>4</v>
      </c>
      <c r="AA12" s="98">
        <f t="shared" si="2"/>
        <v>3.222222222</v>
      </c>
      <c r="AB12" s="88"/>
      <c r="AC12" s="90"/>
    </row>
    <row r="13" ht="18.0" customHeight="1">
      <c r="A13" s="28"/>
      <c r="B13" s="84">
        <v>7.0</v>
      </c>
      <c r="C13" s="85" t="s">
        <v>120</v>
      </c>
      <c r="D13" s="86">
        <f>'Case 7'!E81</f>
        <v>3</v>
      </c>
      <c r="E13" s="86">
        <f>'Case 7'!E82</f>
        <v>3</v>
      </c>
      <c r="F13" s="86">
        <f>'Case 7'!E83</f>
        <v>3</v>
      </c>
      <c r="G13" s="86">
        <f>'Case 7'!E84</f>
        <v>4</v>
      </c>
      <c r="H13" s="86">
        <f>'Case 7'!E85</f>
        <v>3</v>
      </c>
      <c r="I13" s="86">
        <f>'Case 7'!E86</f>
        <v>3</v>
      </c>
      <c r="J13" s="86">
        <f>'Case 7'!E87</f>
        <v>3</v>
      </c>
      <c r="K13" s="86">
        <f>'Case 7'!E88</f>
        <v>3</v>
      </c>
      <c r="L13" s="86">
        <f>'Case 7'!E89</f>
        <v>4</v>
      </c>
      <c r="M13" s="87">
        <f t="shared" si="1"/>
        <v>3.222222222</v>
      </c>
      <c r="N13" s="88"/>
      <c r="O13" s="28"/>
      <c r="P13" s="84">
        <v>7.0</v>
      </c>
      <c r="Q13" s="85" t="s">
        <v>120</v>
      </c>
      <c r="R13" s="86">
        <f>'Case 7'!L81</f>
        <v>3</v>
      </c>
      <c r="S13" s="86">
        <f>'Case 7'!L82</f>
        <v>3</v>
      </c>
      <c r="T13" s="86">
        <f>'Case 7'!L83</f>
        <v>3</v>
      </c>
      <c r="U13" s="86">
        <f>'Case 7'!L84</f>
        <v>4</v>
      </c>
      <c r="V13" s="86">
        <f>'Case 7'!L85</f>
        <v>3</v>
      </c>
      <c r="W13" s="86">
        <f>'Case 7'!L86</f>
        <v>3</v>
      </c>
      <c r="X13" s="86">
        <f>'Case 7'!L87</f>
        <v>3</v>
      </c>
      <c r="Y13" s="86">
        <f>'Case 7'!L88</f>
        <v>4</v>
      </c>
      <c r="Z13" s="86">
        <f>'Case 7'!L89</f>
        <v>4</v>
      </c>
      <c r="AA13" s="89">
        <f t="shared" si="2"/>
        <v>3.333333333</v>
      </c>
      <c r="AB13" s="88"/>
      <c r="AC13" s="90"/>
    </row>
    <row r="14" ht="18.0" customHeight="1">
      <c r="A14" s="28"/>
      <c r="B14" s="91">
        <v>8.0</v>
      </c>
      <c r="C14" s="92" t="s">
        <v>121</v>
      </c>
      <c r="D14" s="93">
        <f>'Case 8'!E82</f>
        <v>3</v>
      </c>
      <c r="E14" s="93">
        <f>'Case 8'!E83</f>
        <v>3</v>
      </c>
      <c r="F14" s="93">
        <f>'Case 8'!E84</f>
        <v>3</v>
      </c>
      <c r="G14" s="93">
        <f>'Case 8'!E85</f>
        <v>3</v>
      </c>
      <c r="H14" s="93">
        <f>'Case 8'!E86</f>
        <v>3</v>
      </c>
      <c r="I14" s="93">
        <f>'Case 8'!E87</f>
        <v>3</v>
      </c>
      <c r="J14" s="93">
        <f>'Case 8'!E88</f>
        <v>3</v>
      </c>
      <c r="K14" s="93">
        <f>'Case 8'!E89</f>
        <v>4</v>
      </c>
      <c r="L14" s="93">
        <f>'Case 8'!E90</f>
        <v>4</v>
      </c>
      <c r="M14" s="94">
        <f t="shared" si="1"/>
        <v>3.222222222</v>
      </c>
      <c r="N14" s="88"/>
      <c r="O14" s="28"/>
      <c r="P14" s="95">
        <v>8.0</v>
      </c>
      <c r="Q14" s="96" t="s">
        <v>121</v>
      </c>
      <c r="R14" s="97">
        <f>'Case 8'!L82</f>
        <v>3</v>
      </c>
      <c r="S14" s="97">
        <f>'Case 8'!L83</f>
        <v>3</v>
      </c>
      <c r="T14" s="97">
        <f>'Case 8'!L84</f>
        <v>3</v>
      </c>
      <c r="U14" s="97">
        <f>'Case 8'!L85</f>
        <v>3</v>
      </c>
      <c r="V14" s="97">
        <f>'Case 8'!L86</f>
        <v>3</v>
      </c>
      <c r="W14" s="97">
        <f>'Case 8'!L87</f>
        <v>3</v>
      </c>
      <c r="X14" s="97">
        <f>'Case 8'!L88</f>
        <v>3</v>
      </c>
      <c r="Y14" s="97">
        <f>'Case 8'!L89</f>
        <v>4</v>
      </c>
      <c r="Z14" s="97">
        <f>'Case 8'!L90</f>
        <v>4</v>
      </c>
      <c r="AA14" s="98">
        <f t="shared" si="2"/>
        <v>3.222222222</v>
      </c>
      <c r="AB14" s="88"/>
      <c r="AC14" s="90"/>
    </row>
    <row r="15" ht="18.0" customHeight="1">
      <c r="A15" s="28"/>
      <c r="B15" s="84">
        <v>9.0</v>
      </c>
      <c r="C15" s="85" t="s">
        <v>122</v>
      </c>
      <c r="D15" s="86">
        <f>'Case 9'!E82</f>
        <v>3</v>
      </c>
      <c r="E15" s="86">
        <f>'Case 9'!E83</f>
        <v>3</v>
      </c>
      <c r="F15" s="86">
        <f>'Case 9'!E84</f>
        <v>3</v>
      </c>
      <c r="G15" s="86">
        <f>'Case 9'!E85</f>
        <v>3</v>
      </c>
      <c r="H15" s="86">
        <f>'Case 9'!E86</f>
        <v>3</v>
      </c>
      <c r="I15" s="86">
        <f>'Case 9'!E87</f>
        <v>3</v>
      </c>
      <c r="J15" s="86">
        <f>'Case 9'!E88</f>
        <v>3</v>
      </c>
      <c r="K15" s="86">
        <f>'Case 9'!E89</f>
        <v>3</v>
      </c>
      <c r="L15" s="86">
        <f>'Case 9'!E90</f>
        <v>4</v>
      </c>
      <c r="M15" s="87">
        <f t="shared" si="1"/>
        <v>3.111111111</v>
      </c>
      <c r="N15" s="88"/>
      <c r="O15" s="28"/>
      <c r="P15" s="84">
        <v>9.0</v>
      </c>
      <c r="Q15" s="85" t="s">
        <v>122</v>
      </c>
      <c r="R15" s="86">
        <f>'Case 9'!L82</f>
        <v>3</v>
      </c>
      <c r="S15" s="86">
        <f>'Case 9'!L83</f>
        <v>3</v>
      </c>
      <c r="T15" s="86">
        <f>'Case 9'!L84</f>
        <v>3</v>
      </c>
      <c r="U15" s="86">
        <f>'Case 9'!L85</f>
        <v>3</v>
      </c>
      <c r="V15" s="86">
        <f>'Case 9'!L86</f>
        <v>3</v>
      </c>
      <c r="W15" s="86">
        <f>'Case 9'!L87</f>
        <v>3</v>
      </c>
      <c r="X15" s="86">
        <f>'Case 9'!L88</f>
        <v>3</v>
      </c>
      <c r="Y15" s="86">
        <f>'Case 9'!L89</f>
        <v>4</v>
      </c>
      <c r="Z15" s="86">
        <f>'Case 9'!L90</f>
        <v>4</v>
      </c>
      <c r="AA15" s="89">
        <f t="shared" si="2"/>
        <v>3.222222222</v>
      </c>
      <c r="AB15" s="88"/>
      <c r="AC15" s="90"/>
    </row>
    <row r="16" ht="18.0" customHeight="1">
      <c r="A16" s="28"/>
      <c r="B16" s="91">
        <v>10.0</v>
      </c>
      <c r="C16" s="92" t="s">
        <v>123</v>
      </c>
      <c r="D16" s="93">
        <f>'Case 10'!E81</f>
        <v>3</v>
      </c>
      <c r="E16" s="93">
        <f>'Case 10'!E82</f>
        <v>3</v>
      </c>
      <c r="F16" s="93">
        <f>'Case 10'!E83</f>
        <v>3</v>
      </c>
      <c r="G16" s="93">
        <f>'Case 10'!E84</f>
        <v>4</v>
      </c>
      <c r="H16" s="93">
        <f>'Case 10'!E85</f>
        <v>3</v>
      </c>
      <c r="I16" s="93">
        <f>'Case 10'!E86</f>
        <v>3</v>
      </c>
      <c r="J16" s="93">
        <f>'Case 10'!E87</f>
        <v>3</v>
      </c>
      <c r="K16" s="93">
        <f>'Case 10'!E88</f>
        <v>3</v>
      </c>
      <c r="L16" s="93">
        <f>'Case 10'!E89</f>
        <v>4</v>
      </c>
      <c r="M16" s="94">
        <f t="shared" si="1"/>
        <v>3.222222222</v>
      </c>
      <c r="N16" s="88"/>
      <c r="O16" s="28"/>
      <c r="P16" s="95">
        <v>10.0</v>
      </c>
      <c r="Q16" s="96" t="s">
        <v>123</v>
      </c>
      <c r="R16" s="97">
        <f>'Case 10'!L81</f>
        <v>3</v>
      </c>
      <c r="S16" s="97">
        <f>'Case 10'!L82</f>
        <v>3</v>
      </c>
      <c r="T16" s="97">
        <f>'Case 10'!L83</f>
        <v>3</v>
      </c>
      <c r="U16" s="97">
        <f>'Case 10'!L84</f>
        <v>3</v>
      </c>
      <c r="V16" s="97">
        <f>'Case 10'!L85</f>
        <v>3</v>
      </c>
      <c r="W16" s="97">
        <f>'Case 10'!L86</f>
        <v>3</v>
      </c>
      <c r="X16" s="97">
        <f>'Case 10'!L87</f>
        <v>3</v>
      </c>
      <c r="Y16" s="97">
        <f>'Case 10'!L88</f>
        <v>4</v>
      </c>
      <c r="Z16" s="97">
        <f>'Case 10'!L89</f>
        <v>4</v>
      </c>
      <c r="AA16" s="98">
        <f t="shared" si="2"/>
        <v>3.222222222</v>
      </c>
      <c r="AB16" s="88"/>
      <c r="AC16" s="90"/>
    </row>
    <row r="17" ht="18.0" customHeight="1">
      <c r="A17" s="28"/>
      <c r="B17" s="84">
        <v>11.0</v>
      </c>
      <c r="C17" s="85" t="s">
        <v>124</v>
      </c>
      <c r="D17" s="86">
        <f>'Case 11'!E82</f>
        <v>3</v>
      </c>
      <c r="E17" s="86">
        <f>'Case 11'!E83</f>
        <v>3</v>
      </c>
      <c r="F17" s="86">
        <f>'Case 11'!E84</f>
        <v>3</v>
      </c>
      <c r="G17" s="86">
        <f>'Case 11'!E85</f>
        <v>4</v>
      </c>
      <c r="H17" s="86">
        <f>'Case 11'!E86</f>
        <v>3</v>
      </c>
      <c r="I17" s="86">
        <f>'Case 11'!E87</f>
        <v>3</v>
      </c>
      <c r="J17" s="86">
        <f>'Case 11'!E88</f>
        <v>3</v>
      </c>
      <c r="K17" s="86">
        <f>'Case 11'!E89</f>
        <v>3</v>
      </c>
      <c r="L17" s="86">
        <f>'Case 11'!E90</f>
        <v>4</v>
      </c>
      <c r="M17" s="87">
        <f t="shared" si="1"/>
        <v>3.222222222</v>
      </c>
      <c r="N17" s="88"/>
      <c r="O17" s="28"/>
      <c r="P17" s="84">
        <v>11.0</v>
      </c>
      <c r="Q17" s="85" t="s">
        <v>124</v>
      </c>
      <c r="R17" s="86">
        <f>'Case 11'!L82</f>
        <v>3</v>
      </c>
      <c r="S17" s="86">
        <f>'Case 11'!L83</f>
        <v>3</v>
      </c>
      <c r="T17" s="86">
        <f>'Case 11'!L84</f>
        <v>3</v>
      </c>
      <c r="U17" s="86">
        <f>'Case 11'!L85</f>
        <v>3</v>
      </c>
      <c r="V17" s="86">
        <f>'Case 11'!L86</f>
        <v>3</v>
      </c>
      <c r="W17" s="86">
        <f>'Case 11'!L87</f>
        <v>3</v>
      </c>
      <c r="X17" s="86">
        <f>'Case 11'!L88</f>
        <v>3</v>
      </c>
      <c r="Y17" s="86">
        <f>'Case 11'!L89</f>
        <v>4</v>
      </c>
      <c r="Z17" s="86">
        <f>'Case 11'!L90</f>
        <v>4</v>
      </c>
      <c r="AA17" s="89">
        <f t="shared" si="2"/>
        <v>3.222222222</v>
      </c>
      <c r="AB17" s="88"/>
      <c r="AC17" s="90"/>
    </row>
    <row r="18" ht="18.0" customHeight="1">
      <c r="A18" s="28"/>
      <c r="B18" s="91">
        <v>12.0</v>
      </c>
      <c r="C18" s="92" t="s">
        <v>125</v>
      </c>
      <c r="D18" s="93">
        <f>'Case 12'!E81</f>
        <v>3</v>
      </c>
      <c r="E18" s="93">
        <f>'Case 12'!E82</f>
        <v>3</v>
      </c>
      <c r="F18" s="93">
        <f>'Case 12'!E83</f>
        <v>3</v>
      </c>
      <c r="G18" s="93">
        <f>'Case 12'!E84</f>
        <v>3</v>
      </c>
      <c r="H18" s="93">
        <f>'Case 12'!E85</f>
        <v>3</v>
      </c>
      <c r="I18" s="93">
        <f>'Case 12'!E86</f>
        <v>3</v>
      </c>
      <c r="J18" s="93">
        <f>'Case 12'!E87</f>
        <v>3</v>
      </c>
      <c r="K18" s="93">
        <f>'Case 12'!E88</f>
        <v>4</v>
      </c>
      <c r="L18" s="93">
        <f>'Case 12'!E89</f>
        <v>4</v>
      </c>
      <c r="M18" s="94">
        <f t="shared" si="1"/>
        <v>3.222222222</v>
      </c>
      <c r="N18" s="88"/>
      <c r="O18" s="28"/>
      <c r="P18" s="95">
        <v>12.0</v>
      </c>
      <c r="Q18" s="96" t="s">
        <v>125</v>
      </c>
      <c r="R18" s="97">
        <f>'Case 12'!L81</f>
        <v>3</v>
      </c>
      <c r="S18" s="97">
        <f>'Case 12'!L82</f>
        <v>3</v>
      </c>
      <c r="T18" s="97">
        <f>'Case 12'!L83</f>
        <v>3</v>
      </c>
      <c r="U18" s="97">
        <f>'Case 12'!L84</f>
        <v>3</v>
      </c>
      <c r="V18" s="97">
        <f>'Case 12'!L85</f>
        <v>3</v>
      </c>
      <c r="W18" s="97">
        <f>'Case 12'!L86</f>
        <v>3</v>
      </c>
      <c r="X18" s="97">
        <f>'Case 12'!L87</f>
        <v>3</v>
      </c>
      <c r="Y18" s="97">
        <f>'Case 12'!L88</f>
        <v>4</v>
      </c>
      <c r="Z18" s="97">
        <f>'Case 12'!L89</f>
        <v>4</v>
      </c>
      <c r="AA18" s="98">
        <f t="shared" si="2"/>
        <v>3.222222222</v>
      </c>
      <c r="AB18" s="88"/>
      <c r="AC18" s="90"/>
    </row>
    <row r="19" ht="18.0" customHeight="1">
      <c r="A19" s="28"/>
      <c r="B19" s="84">
        <v>13.0</v>
      </c>
      <c r="C19" s="85" t="s">
        <v>126</v>
      </c>
      <c r="D19" s="86">
        <f>'Case 13'!E82</f>
        <v>3</v>
      </c>
      <c r="E19" s="86">
        <f>'Case 13'!E83</f>
        <v>3</v>
      </c>
      <c r="F19" s="86">
        <f>'Case 13'!E84</f>
        <v>3</v>
      </c>
      <c r="G19" s="86">
        <f>'Case 13'!E85</f>
        <v>3</v>
      </c>
      <c r="H19" s="86">
        <f>'Case 13'!E86</f>
        <v>3</v>
      </c>
      <c r="I19" s="86">
        <f>'Case 13'!E87</f>
        <v>3</v>
      </c>
      <c r="J19" s="86">
        <f>'Case 13'!E88</f>
        <v>3</v>
      </c>
      <c r="K19" s="86">
        <f>'Case 13'!E89</f>
        <v>3</v>
      </c>
      <c r="L19" s="86">
        <f>'Case 13'!E90</f>
        <v>4</v>
      </c>
      <c r="M19" s="87">
        <f t="shared" si="1"/>
        <v>3.111111111</v>
      </c>
      <c r="N19" s="88"/>
      <c r="O19" s="28"/>
      <c r="P19" s="84">
        <v>13.0</v>
      </c>
      <c r="Q19" s="85" t="s">
        <v>126</v>
      </c>
      <c r="R19" s="86">
        <f>'Case 13'!L82</f>
        <v>3</v>
      </c>
      <c r="S19" s="86">
        <f>'Case 13'!L83</f>
        <v>3</v>
      </c>
      <c r="T19" s="86">
        <f>'Case 13'!L84</f>
        <v>3</v>
      </c>
      <c r="U19" s="86">
        <f>'Case 13'!L85</f>
        <v>3</v>
      </c>
      <c r="V19" s="86">
        <f>'Case 13'!L86</f>
        <v>3</v>
      </c>
      <c r="W19" s="86">
        <f>'Case 13'!L87</f>
        <v>3</v>
      </c>
      <c r="X19" s="86">
        <f>'Case 13'!L88</f>
        <v>3</v>
      </c>
      <c r="Y19" s="86">
        <f>'Case 13'!L89</f>
        <v>3</v>
      </c>
      <c r="Z19" s="86">
        <f>'Case 13'!L90</f>
        <v>4</v>
      </c>
      <c r="AA19" s="89">
        <f t="shared" si="2"/>
        <v>3.111111111</v>
      </c>
      <c r="AB19" s="88"/>
      <c r="AC19" s="90"/>
    </row>
    <row r="20" ht="19.5" customHeight="1">
      <c r="A20" s="28"/>
      <c r="B20" s="99" t="s">
        <v>127</v>
      </c>
      <c r="C20" s="13"/>
      <c r="D20" s="100">
        <f t="shared" ref="D20:L20" si="3">IFERROR(AVERAGE(D7:D19),"—")</f>
        <v>3.076923077</v>
      </c>
      <c r="E20" s="100">
        <f t="shared" si="3"/>
        <v>3.076923077</v>
      </c>
      <c r="F20" s="100">
        <f t="shared" si="3"/>
        <v>3.230769231</v>
      </c>
      <c r="G20" s="100">
        <f t="shared" si="3"/>
        <v>3.615384615</v>
      </c>
      <c r="H20" s="100">
        <f t="shared" si="3"/>
        <v>3.076923077</v>
      </c>
      <c r="I20" s="100">
        <f t="shared" si="3"/>
        <v>3.076923077</v>
      </c>
      <c r="J20" s="100">
        <f t="shared" si="3"/>
        <v>3</v>
      </c>
      <c r="K20" s="100">
        <f t="shared" si="3"/>
        <v>3.153846154</v>
      </c>
      <c r="L20" s="100">
        <f t="shared" si="3"/>
        <v>4</v>
      </c>
      <c r="M20" s="101">
        <f t="shared" si="1"/>
        <v>3.256410256</v>
      </c>
      <c r="N20" s="102" t="s">
        <v>128</v>
      </c>
      <c r="O20" s="28"/>
      <c r="P20" s="99" t="s">
        <v>127</v>
      </c>
      <c r="Q20" s="13"/>
      <c r="R20" s="100">
        <f t="shared" ref="R20:Z20" si="4">IFERROR(AVERAGE(R7:R19),"—")</f>
        <v>3.076923077</v>
      </c>
      <c r="S20" s="100">
        <f t="shared" si="4"/>
        <v>3.076923077</v>
      </c>
      <c r="T20" s="100">
        <f t="shared" si="4"/>
        <v>3.076923077</v>
      </c>
      <c r="U20" s="100">
        <f t="shared" si="4"/>
        <v>3.230769231</v>
      </c>
      <c r="V20" s="100">
        <f t="shared" si="4"/>
        <v>3</v>
      </c>
      <c r="W20" s="100">
        <f t="shared" si="4"/>
        <v>3</v>
      </c>
      <c r="X20" s="100">
        <f t="shared" si="4"/>
        <v>3</v>
      </c>
      <c r="Y20" s="100">
        <f t="shared" si="4"/>
        <v>3.923076923</v>
      </c>
      <c r="Z20" s="100">
        <f t="shared" si="4"/>
        <v>4</v>
      </c>
      <c r="AA20" s="101">
        <f t="shared" si="2"/>
        <v>3.264957265</v>
      </c>
      <c r="AB20" s="102" t="s">
        <v>128</v>
      </c>
      <c r="AC20" s="103"/>
    </row>
    <row r="21" ht="15.75" customHeight="1">
      <c r="A21" s="28"/>
      <c r="B21" s="28"/>
      <c r="C21" s="28"/>
      <c r="D21" s="28"/>
      <c r="E21" s="28"/>
      <c r="F21" s="28"/>
      <c r="G21" s="28"/>
      <c r="H21" s="28"/>
      <c r="I21" s="28"/>
      <c r="J21" s="28"/>
      <c r="K21" s="28"/>
      <c r="L21" s="28"/>
      <c r="M21" s="28"/>
      <c r="N21" s="28"/>
      <c r="O21" s="28"/>
    </row>
    <row r="22" ht="18.0" customHeight="1">
      <c r="A22" s="28"/>
      <c r="B22" s="104" t="s">
        <v>129</v>
      </c>
      <c r="C22" s="105"/>
      <c r="D22" s="105"/>
      <c r="E22" s="105"/>
      <c r="F22" s="105"/>
      <c r="G22" s="105"/>
      <c r="H22" s="105"/>
      <c r="I22" s="105"/>
      <c r="J22" s="105"/>
      <c r="K22" s="105"/>
      <c r="L22" s="105"/>
      <c r="M22" s="105"/>
      <c r="N22" s="106"/>
      <c r="O22" s="28"/>
    </row>
    <row r="23" ht="18.0" customHeight="1">
      <c r="A23" s="28"/>
      <c r="B23" s="107" t="s">
        <v>130</v>
      </c>
      <c r="C23" s="108"/>
      <c r="D23" s="109" t="s">
        <v>131</v>
      </c>
      <c r="E23" s="110"/>
      <c r="F23" s="110"/>
      <c r="G23" s="108"/>
      <c r="H23" s="111" t="s">
        <v>132</v>
      </c>
      <c r="I23" s="110"/>
      <c r="J23" s="110"/>
      <c r="K23" s="110"/>
      <c r="L23" s="110"/>
      <c r="M23" s="110"/>
      <c r="N23" s="47"/>
      <c r="O23" s="28"/>
    </row>
    <row r="24" ht="18.0" customHeight="1">
      <c r="A24" s="28"/>
      <c r="B24" s="112" t="s">
        <v>133</v>
      </c>
      <c r="C24" s="113"/>
      <c r="D24" s="114" t="s">
        <v>134</v>
      </c>
      <c r="E24" s="115"/>
      <c r="F24" s="115"/>
      <c r="G24" s="113"/>
      <c r="H24" s="116" t="s">
        <v>135</v>
      </c>
      <c r="I24" s="115"/>
      <c r="J24" s="115"/>
      <c r="K24" s="115"/>
      <c r="L24" s="115"/>
      <c r="M24" s="115"/>
      <c r="N24" s="50"/>
      <c r="O24" s="28"/>
    </row>
    <row r="25" ht="18.0" customHeight="1">
      <c r="A25" s="28"/>
      <c r="B25" s="117" t="s">
        <v>136</v>
      </c>
      <c r="C25" s="118"/>
      <c r="D25" s="119" t="s">
        <v>137</v>
      </c>
      <c r="E25" s="120"/>
      <c r="F25" s="120"/>
      <c r="G25" s="118"/>
      <c r="H25" s="121" t="s">
        <v>138</v>
      </c>
      <c r="I25" s="120"/>
      <c r="J25" s="120"/>
      <c r="K25" s="120"/>
      <c r="L25" s="120"/>
      <c r="M25" s="120"/>
      <c r="N25" s="53"/>
      <c r="O25" s="28"/>
    </row>
    <row r="26" ht="18.0" customHeight="1">
      <c r="A26" s="28"/>
      <c r="B26" s="122" t="s">
        <v>139</v>
      </c>
      <c r="C26" s="123"/>
      <c r="D26" s="124" t="s">
        <v>140</v>
      </c>
      <c r="E26" s="125"/>
      <c r="F26" s="125"/>
      <c r="G26" s="123"/>
      <c r="H26" s="126" t="s">
        <v>141</v>
      </c>
      <c r="I26" s="125"/>
      <c r="J26" s="125"/>
      <c r="K26" s="125"/>
      <c r="L26" s="125"/>
      <c r="M26" s="125"/>
      <c r="N26" s="56"/>
      <c r="O26" s="28"/>
    </row>
    <row r="27" ht="18.0" customHeight="1">
      <c r="A27" s="28"/>
      <c r="B27" s="127" t="s">
        <v>142</v>
      </c>
      <c r="C27" s="128"/>
      <c r="D27" s="129" t="s">
        <v>143</v>
      </c>
      <c r="E27" s="130"/>
      <c r="F27" s="130"/>
      <c r="G27" s="128"/>
      <c r="H27" s="131" t="s">
        <v>144</v>
      </c>
      <c r="I27" s="130"/>
      <c r="J27" s="130"/>
      <c r="K27" s="130"/>
      <c r="L27" s="130"/>
      <c r="M27" s="130"/>
      <c r="N27" s="59"/>
      <c r="O27" s="28"/>
    </row>
    <row r="28" ht="15.75" customHeight="1">
      <c r="A28" s="28"/>
      <c r="B28" s="28"/>
      <c r="C28" s="28"/>
      <c r="D28" s="28"/>
      <c r="E28" s="28"/>
      <c r="F28" s="28"/>
      <c r="G28" s="28"/>
      <c r="H28" s="28"/>
      <c r="I28" s="28"/>
      <c r="J28" s="28"/>
      <c r="K28" s="28"/>
      <c r="L28" s="28"/>
      <c r="M28" s="28"/>
      <c r="N28" s="28"/>
      <c r="O28" s="28"/>
    </row>
    <row r="29" ht="15.75" customHeight="1">
      <c r="A29" s="28"/>
      <c r="B29" s="28"/>
      <c r="C29" s="28"/>
      <c r="D29" s="28"/>
      <c r="E29" s="28"/>
      <c r="F29" s="28"/>
      <c r="G29" s="28"/>
      <c r="H29" s="28"/>
      <c r="I29" s="28"/>
      <c r="J29" s="28"/>
      <c r="K29" s="28"/>
      <c r="L29" s="28"/>
      <c r="M29" s="28"/>
      <c r="N29" s="28"/>
      <c r="O29" s="28"/>
    </row>
    <row r="30" ht="15.75" customHeight="1">
      <c r="A30" s="28"/>
      <c r="B30" s="28"/>
      <c r="C30" s="28"/>
      <c r="D30" s="28"/>
      <c r="E30" s="28"/>
      <c r="F30" s="28"/>
      <c r="G30" s="28"/>
      <c r="H30" s="28"/>
      <c r="I30" s="28"/>
      <c r="J30" s="28"/>
      <c r="K30" s="28"/>
      <c r="L30" s="28"/>
      <c r="M30" s="28"/>
      <c r="N30" s="28"/>
      <c r="O30" s="28"/>
    </row>
    <row r="31" ht="15.75" customHeight="1">
      <c r="A31" s="28"/>
      <c r="B31" s="28"/>
      <c r="C31" s="28"/>
      <c r="D31" s="28"/>
      <c r="E31" s="28"/>
      <c r="F31" s="28"/>
      <c r="G31" s="28"/>
      <c r="H31" s="28"/>
      <c r="I31" s="28"/>
      <c r="J31" s="28"/>
      <c r="K31" s="28"/>
      <c r="L31" s="28"/>
      <c r="M31" s="28"/>
      <c r="N31" s="28"/>
      <c r="O31" s="28"/>
    </row>
    <row r="32" ht="15.75" customHeight="1">
      <c r="A32" s="28"/>
      <c r="B32" s="28"/>
      <c r="C32" s="28"/>
      <c r="D32" s="28"/>
      <c r="E32" s="28"/>
      <c r="F32" s="28"/>
      <c r="G32" s="28"/>
      <c r="H32" s="28"/>
      <c r="I32" s="28"/>
      <c r="J32" s="28"/>
      <c r="K32" s="28"/>
      <c r="L32" s="28"/>
      <c r="M32" s="28"/>
      <c r="N32" s="28"/>
      <c r="O32" s="28"/>
    </row>
    <row r="33" ht="15.75" customHeight="1">
      <c r="A33" s="28"/>
      <c r="B33" s="28"/>
      <c r="C33" s="28"/>
      <c r="D33" s="28"/>
      <c r="E33" s="28"/>
      <c r="F33" s="28"/>
      <c r="G33" s="28"/>
      <c r="H33" s="28"/>
      <c r="I33" s="28"/>
      <c r="J33" s="28"/>
      <c r="K33" s="28"/>
      <c r="L33" s="28"/>
      <c r="M33" s="28"/>
      <c r="N33" s="28"/>
      <c r="O33" s="28"/>
    </row>
    <row r="34" ht="15.75" customHeight="1">
      <c r="A34" s="28"/>
      <c r="B34" s="28"/>
      <c r="C34" s="28"/>
      <c r="D34" s="28"/>
      <c r="E34" s="28"/>
      <c r="F34" s="28"/>
      <c r="G34" s="28"/>
      <c r="H34" s="28"/>
      <c r="I34" s="28"/>
      <c r="J34" s="28"/>
      <c r="K34" s="28"/>
      <c r="L34" s="28"/>
      <c r="M34" s="28"/>
      <c r="N34" s="28"/>
      <c r="O34" s="28"/>
    </row>
    <row r="35" ht="15.75" customHeight="1">
      <c r="A35" s="28"/>
      <c r="B35" s="28"/>
      <c r="C35" s="28"/>
      <c r="D35" s="28"/>
      <c r="E35" s="28"/>
      <c r="F35" s="28"/>
      <c r="G35" s="28"/>
      <c r="H35" s="28"/>
      <c r="I35" s="28"/>
      <c r="J35" s="28"/>
      <c r="K35" s="28"/>
      <c r="L35" s="28"/>
      <c r="M35" s="28"/>
      <c r="N35" s="28"/>
      <c r="O35" s="28"/>
    </row>
    <row r="36" ht="15.75" customHeight="1">
      <c r="A36" s="28"/>
      <c r="B36" s="28"/>
      <c r="C36" s="28"/>
      <c r="D36" s="28"/>
      <c r="E36" s="28"/>
      <c r="F36" s="28"/>
      <c r="G36" s="28"/>
      <c r="H36" s="28"/>
      <c r="I36" s="28"/>
      <c r="J36" s="28"/>
      <c r="K36" s="28"/>
      <c r="L36" s="28"/>
      <c r="M36" s="28"/>
      <c r="N36" s="28"/>
      <c r="O36" s="28"/>
    </row>
    <row r="37" ht="15.75" customHeight="1">
      <c r="A37" s="28"/>
      <c r="B37" s="28"/>
      <c r="C37" s="28"/>
      <c r="D37" s="28"/>
      <c r="E37" s="28"/>
      <c r="F37" s="28"/>
      <c r="G37" s="28"/>
      <c r="H37" s="28"/>
      <c r="I37" s="28"/>
      <c r="J37" s="28"/>
      <c r="K37" s="28"/>
      <c r="L37" s="28"/>
      <c r="M37" s="28"/>
      <c r="N37" s="28"/>
      <c r="O37" s="28"/>
    </row>
    <row r="38" ht="15.75" customHeight="1">
      <c r="A38" s="28"/>
      <c r="B38" s="28"/>
      <c r="C38" s="28"/>
      <c r="D38" s="28"/>
      <c r="E38" s="28"/>
      <c r="F38" s="28"/>
      <c r="G38" s="28"/>
      <c r="H38" s="28"/>
      <c r="I38" s="28"/>
      <c r="J38" s="28"/>
      <c r="K38" s="28"/>
      <c r="L38" s="28"/>
      <c r="M38" s="28"/>
      <c r="N38" s="28"/>
      <c r="O38" s="28"/>
    </row>
    <row r="39" ht="15.75" customHeight="1">
      <c r="A39" s="28"/>
      <c r="B39" s="28"/>
      <c r="C39" s="28"/>
      <c r="D39" s="28"/>
      <c r="E39" s="28"/>
      <c r="F39" s="28"/>
      <c r="G39" s="28"/>
      <c r="H39" s="28"/>
      <c r="I39" s="28"/>
      <c r="J39" s="28"/>
      <c r="K39" s="28"/>
      <c r="L39" s="28"/>
      <c r="M39" s="28"/>
      <c r="N39" s="28"/>
      <c r="O39" s="28"/>
    </row>
    <row r="40" ht="15.75" customHeight="1">
      <c r="A40" s="28"/>
      <c r="B40" s="28"/>
      <c r="C40" s="28"/>
      <c r="D40" s="28"/>
      <c r="E40" s="28"/>
      <c r="F40" s="28"/>
      <c r="G40" s="28"/>
      <c r="H40" s="28"/>
      <c r="I40" s="28"/>
      <c r="J40" s="28"/>
      <c r="K40" s="28"/>
      <c r="L40" s="28"/>
      <c r="M40" s="28"/>
      <c r="N40" s="28"/>
      <c r="O40" s="28"/>
    </row>
    <row r="41" ht="15.75" customHeight="1">
      <c r="A41" s="28"/>
      <c r="B41" s="28"/>
      <c r="C41" s="28"/>
      <c r="D41" s="28"/>
      <c r="E41" s="28"/>
      <c r="F41" s="28"/>
      <c r="G41" s="28"/>
      <c r="H41" s="28"/>
      <c r="I41" s="28"/>
      <c r="J41" s="28"/>
      <c r="K41" s="28"/>
      <c r="L41" s="28"/>
      <c r="M41" s="28"/>
      <c r="N41" s="28"/>
      <c r="O41" s="28"/>
    </row>
    <row r="42" ht="15.75" customHeight="1">
      <c r="A42" s="28"/>
      <c r="B42" s="28"/>
      <c r="C42" s="28"/>
      <c r="D42" s="28"/>
      <c r="E42" s="28"/>
      <c r="F42" s="28"/>
      <c r="G42" s="28"/>
      <c r="H42" s="28"/>
      <c r="I42" s="28"/>
      <c r="J42" s="28"/>
      <c r="K42" s="28"/>
      <c r="L42" s="28"/>
      <c r="M42" s="28"/>
      <c r="N42" s="28"/>
      <c r="O42" s="28"/>
    </row>
    <row r="43" ht="15.75" customHeight="1">
      <c r="A43" s="28"/>
      <c r="B43" s="28"/>
      <c r="C43" s="28"/>
      <c r="D43" s="28"/>
      <c r="E43" s="28"/>
      <c r="F43" s="28"/>
      <c r="G43" s="28"/>
      <c r="H43" s="28"/>
      <c r="I43" s="28"/>
      <c r="J43" s="28"/>
      <c r="K43" s="28"/>
      <c r="L43" s="28"/>
      <c r="M43" s="28"/>
      <c r="N43" s="28"/>
      <c r="O43" s="28"/>
    </row>
    <row r="44" ht="15.75" customHeight="1">
      <c r="A44" s="28"/>
      <c r="B44" s="28"/>
      <c r="C44" s="28"/>
      <c r="D44" s="28"/>
      <c r="E44" s="28"/>
      <c r="F44" s="28"/>
      <c r="G44" s="28"/>
      <c r="H44" s="28"/>
      <c r="I44" s="28"/>
      <c r="J44" s="28"/>
      <c r="K44" s="28"/>
      <c r="L44" s="28"/>
      <c r="M44" s="28"/>
      <c r="N44" s="28"/>
      <c r="O44" s="28"/>
    </row>
    <row r="45" ht="15.75" customHeight="1">
      <c r="A45" s="28"/>
      <c r="B45" s="28"/>
      <c r="C45" s="28"/>
      <c r="D45" s="28"/>
      <c r="E45" s="28"/>
      <c r="F45" s="28"/>
      <c r="G45" s="28"/>
      <c r="H45" s="28"/>
      <c r="I45" s="28"/>
      <c r="J45" s="28"/>
      <c r="K45" s="28"/>
      <c r="L45" s="28"/>
      <c r="M45" s="28"/>
      <c r="N45" s="28"/>
      <c r="O45" s="28"/>
    </row>
    <row r="46" ht="15.75" customHeight="1">
      <c r="A46" s="28"/>
      <c r="B46" s="28"/>
      <c r="C46" s="28"/>
      <c r="D46" s="28"/>
      <c r="E46" s="28"/>
      <c r="F46" s="28"/>
      <c r="G46" s="28"/>
      <c r="H46" s="28"/>
      <c r="I46" s="28"/>
      <c r="J46" s="28"/>
      <c r="K46" s="28"/>
      <c r="L46" s="28"/>
      <c r="M46" s="28"/>
      <c r="N46" s="28"/>
      <c r="O46" s="28"/>
    </row>
    <row r="47" ht="15.75" customHeight="1">
      <c r="A47" s="28"/>
      <c r="B47" s="28"/>
      <c r="C47" s="28"/>
      <c r="D47" s="28"/>
      <c r="E47" s="28"/>
      <c r="F47" s="28"/>
      <c r="G47" s="28"/>
      <c r="H47" s="28"/>
      <c r="I47" s="28"/>
      <c r="J47" s="28"/>
      <c r="K47" s="28"/>
      <c r="L47" s="28"/>
      <c r="M47" s="28"/>
      <c r="N47" s="28"/>
      <c r="O47" s="28"/>
    </row>
    <row r="48" ht="15.75" customHeight="1">
      <c r="A48" s="28"/>
      <c r="B48" s="28"/>
      <c r="C48" s="28"/>
      <c r="D48" s="28"/>
      <c r="E48" s="28"/>
      <c r="F48" s="28"/>
      <c r="G48" s="28"/>
      <c r="H48" s="28"/>
      <c r="I48" s="28"/>
      <c r="J48" s="28"/>
      <c r="K48" s="28"/>
      <c r="L48" s="28"/>
      <c r="M48" s="28"/>
      <c r="N48" s="28"/>
      <c r="O48" s="28"/>
    </row>
    <row r="49" ht="15.75" customHeight="1">
      <c r="A49" s="28"/>
      <c r="B49" s="28"/>
      <c r="C49" s="28"/>
      <c r="D49" s="28"/>
      <c r="E49" s="28"/>
      <c r="F49" s="28"/>
      <c r="G49" s="28"/>
      <c r="H49" s="28"/>
      <c r="I49" s="28"/>
      <c r="J49" s="28"/>
      <c r="K49" s="28"/>
      <c r="L49" s="28"/>
      <c r="M49" s="28"/>
      <c r="N49" s="28"/>
      <c r="O49" s="28"/>
    </row>
    <row r="50" ht="15.75" customHeight="1">
      <c r="A50" s="28"/>
      <c r="B50" s="28"/>
      <c r="C50" s="28"/>
      <c r="D50" s="28"/>
      <c r="E50" s="28"/>
      <c r="F50" s="28"/>
      <c r="G50" s="28"/>
      <c r="H50" s="28"/>
      <c r="I50" s="28"/>
      <c r="J50" s="28"/>
      <c r="K50" s="28"/>
      <c r="L50" s="28"/>
      <c r="M50" s="28"/>
      <c r="N50" s="28"/>
      <c r="O50" s="28"/>
    </row>
    <row r="51" ht="15.75" customHeight="1">
      <c r="A51" s="28"/>
      <c r="B51" s="28"/>
      <c r="C51" s="28"/>
      <c r="D51" s="28"/>
      <c r="E51" s="28"/>
      <c r="F51" s="28"/>
      <c r="G51" s="28"/>
      <c r="H51" s="28"/>
      <c r="I51" s="28"/>
      <c r="J51" s="28"/>
      <c r="K51" s="28"/>
      <c r="L51" s="28"/>
      <c r="M51" s="28"/>
      <c r="N51" s="28"/>
      <c r="O51" s="28"/>
    </row>
    <row r="52" ht="15.75" customHeight="1">
      <c r="A52" s="28"/>
      <c r="B52" s="28"/>
      <c r="C52" s="28"/>
      <c r="D52" s="28"/>
      <c r="E52" s="28"/>
      <c r="F52" s="28"/>
      <c r="G52" s="28"/>
      <c r="H52" s="28"/>
      <c r="I52" s="28"/>
      <c r="J52" s="28"/>
      <c r="K52" s="28"/>
      <c r="L52" s="28"/>
      <c r="M52" s="28"/>
      <c r="N52" s="28"/>
      <c r="O52" s="28"/>
    </row>
    <row r="53" ht="15.75" customHeight="1">
      <c r="A53" s="28"/>
      <c r="B53" s="28"/>
      <c r="C53" s="28"/>
      <c r="D53" s="28"/>
      <c r="E53" s="28"/>
      <c r="F53" s="28"/>
      <c r="G53" s="28"/>
      <c r="H53" s="28"/>
      <c r="I53" s="28"/>
      <c r="J53" s="28"/>
      <c r="K53" s="28"/>
      <c r="L53" s="28"/>
      <c r="M53" s="28"/>
      <c r="N53" s="28"/>
      <c r="O53" s="28"/>
    </row>
    <row r="54" ht="15.75" customHeight="1">
      <c r="A54" s="28"/>
      <c r="B54" s="28"/>
      <c r="C54" s="28"/>
      <c r="D54" s="28"/>
      <c r="E54" s="28"/>
      <c r="F54" s="28"/>
      <c r="G54" s="28"/>
      <c r="H54" s="28"/>
      <c r="I54" s="28"/>
      <c r="J54" s="28"/>
      <c r="K54" s="28"/>
      <c r="L54" s="28"/>
      <c r="M54" s="28"/>
      <c r="N54" s="28"/>
      <c r="O54" s="28"/>
    </row>
    <row r="55" ht="15.75" customHeight="1">
      <c r="A55" s="28"/>
      <c r="B55" s="28"/>
      <c r="C55" s="28"/>
      <c r="D55" s="28"/>
      <c r="E55" s="28"/>
      <c r="F55" s="28"/>
      <c r="G55" s="28"/>
      <c r="H55" s="28"/>
      <c r="I55" s="28"/>
      <c r="J55" s="28"/>
      <c r="K55" s="28"/>
      <c r="L55" s="28"/>
      <c r="M55" s="28"/>
      <c r="N55" s="28"/>
      <c r="O55" s="28"/>
    </row>
    <row r="56" ht="15.75" customHeight="1">
      <c r="A56" s="28"/>
      <c r="B56" s="28"/>
      <c r="C56" s="28"/>
      <c r="D56" s="28"/>
      <c r="E56" s="28"/>
      <c r="F56" s="28"/>
      <c r="G56" s="28"/>
      <c r="H56" s="28"/>
      <c r="I56" s="28"/>
      <c r="J56" s="28"/>
      <c r="K56" s="28"/>
      <c r="L56" s="28"/>
      <c r="M56" s="28"/>
      <c r="N56" s="28"/>
      <c r="O56" s="28"/>
    </row>
    <row r="57" ht="15.75" customHeight="1">
      <c r="A57" s="28"/>
      <c r="B57" s="28"/>
      <c r="C57" s="28"/>
      <c r="D57" s="28"/>
      <c r="E57" s="28"/>
      <c r="F57" s="28"/>
      <c r="G57" s="28"/>
      <c r="H57" s="28"/>
      <c r="I57" s="28"/>
      <c r="J57" s="28"/>
      <c r="K57" s="28"/>
      <c r="L57" s="28"/>
      <c r="M57" s="28"/>
      <c r="N57" s="28"/>
      <c r="O57" s="28"/>
    </row>
    <row r="58" ht="15.75" customHeight="1">
      <c r="A58" s="28"/>
      <c r="B58" s="28"/>
      <c r="C58" s="28"/>
      <c r="D58" s="28"/>
      <c r="E58" s="28"/>
      <c r="F58" s="28"/>
      <c r="G58" s="28"/>
      <c r="H58" s="28"/>
      <c r="I58" s="28"/>
      <c r="J58" s="28"/>
      <c r="K58" s="28"/>
      <c r="L58" s="28"/>
      <c r="M58" s="28"/>
      <c r="N58" s="28"/>
      <c r="O58" s="28"/>
    </row>
    <row r="59" ht="15.75" customHeight="1">
      <c r="A59" s="28"/>
      <c r="B59" s="28"/>
      <c r="C59" s="28"/>
      <c r="D59" s="28"/>
      <c r="E59" s="28"/>
      <c r="F59" s="28"/>
      <c r="G59" s="28"/>
      <c r="H59" s="28"/>
      <c r="I59" s="28"/>
      <c r="J59" s="28"/>
      <c r="K59" s="28"/>
      <c r="L59" s="28"/>
      <c r="M59" s="28"/>
      <c r="N59" s="28"/>
      <c r="O59" s="28"/>
    </row>
    <row r="60" ht="15.75" customHeight="1">
      <c r="A60" s="28"/>
      <c r="B60" s="28"/>
      <c r="C60" s="28"/>
      <c r="D60" s="28"/>
      <c r="E60" s="28"/>
      <c r="F60" s="28"/>
      <c r="G60" s="28"/>
      <c r="H60" s="28"/>
      <c r="I60" s="28"/>
      <c r="J60" s="28"/>
      <c r="K60" s="28"/>
      <c r="L60" s="28"/>
      <c r="M60" s="28"/>
      <c r="N60" s="28"/>
      <c r="O60" s="28"/>
    </row>
    <row r="61" ht="15.75" customHeight="1">
      <c r="A61" s="28"/>
      <c r="B61" s="28"/>
      <c r="C61" s="28"/>
      <c r="D61" s="28"/>
      <c r="E61" s="28"/>
      <c r="F61" s="28"/>
      <c r="G61" s="28"/>
      <c r="H61" s="28"/>
      <c r="I61" s="28"/>
      <c r="J61" s="28"/>
      <c r="K61" s="28"/>
      <c r="L61" s="28"/>
      <c r="M61" s="28"/>
      <c r="N61" s="28"/>
      <c r="O61" s="28"/>
    </row>
    <row r="62" ht="15.75" customHeight="1">
      <c r="A62" s="28"/>
      <c r="B62" s="28"/>
      <c r="C62" s="28"/>
      <c r="D62" s="28"/>
      <c r="E62" s="28"/>
      <c r="F62" s="28"/>
      <c r="G62" s="28"/>
      <c r="H62" s="28"/>
      <c r="I62" s="28"/>
      <c r="J62" s="28"/>
      <c r="K62" s="28"/>
      <c r="L62" s="28"/>
      <c r="M62" s="28"/>
      <c r="N62" s="28"/>
      <c r="O62" s="28"/>
    </row>
    <row r="63" ht="15.75" customHeight="1">
      <c r="A63" s="28"/>
      <c r="B63" s="28"/>
      <c r="C63" s="28"/>
      <c r="D63" s="28"/>
      <c r="E63" s="28"/>
      <c r="F63" s="28"/>
      <c r="G63" s="28"/>
      <c r="H63" s="28"/>
      <c r="I63" s="28"/>
      <c r="J63" s="28"/>
      <c r="K63" s="28"/>
      <c r="L63" s="28"/>
      <c r="M63" s="28"/>
      <c r="N63" s="28"/>
      <c r="O63" s="28"/>
    </row>
    <row r="64" ht="15.75" customHeight="1">
      <c r="A64" s="28"/>
      <c r="B64" s="28"/>
      <c r="C64" s="28"/>
      <c r="D64" s="28"/>
      <c r="E64" s="28"/>
      <c r="F64" s="28"/>
      <c r="G64" s="28"/>
      <c r="H64" s="28"/>
      <c r="I64" s="28"/>
      <c r="J64" s="28"/>
      <c r="K64" s="28"/>
      <c r="L64" s="28"/>
      <c r="M64" s="28"/>
      <c r="N64" s="28"/>
      <c r="O64" s="28"/>
    </row>
    <row r="65" ht="15.75" customHeight="1">
      <c r="A65" s="28"/>
      <c r="B65" s="28"/>
      <c r="C65" s="28"/>
      <c r="D65" s="28"/>
      <c r="E65" s="28"/>
      <c r="F65" s="28"/>
      <c r="G65" s="28"/>
      <c r="H65" s="28"/>
      <c r="I65" s="28"/>
      <c r="J65" s="28"/>
      <c r="K65" s="28"/>
      <c r="L65" s="28"/>
      <c r="M65" s="28"/>
      <c r="N65" s="28"/>
      <c r="O65" s="28"/>
    </row>
    <row r="66" ht="15.75" customHeight="1">
      <c r="A66" s="28"/>
      <c r="B66" s="28"/>
      <c r="C66" s="28"/>
      <c r="D66" s="28"/>
      <c r="E66" s="28"/>
      <c r="F66" s="28"/>
      <c r="G66" s="28"/>
      <c r="H66" s="28"/>
      <c r="I66" s="28"/>
      <c r="J66" s="28"/>
      <c r="K66" s="28"/>
      <c r="L66" s="28"/>
      <c r="M66" s="28"/>
      <c r="N66" s="28"/>
      <c r="O66" s="28"/>
    </row>
    <row r="67" ht="15.75" customHeight="1">
      <c r="A67" s="28"/>
      <c r="B67" s="28"/>
      <c r="C67" s="28"/>
      <c r="D67" s="28"/>
      <c r="E67" s="28"/>
      <c r="F67" s="28"/>
      <c r="G67" s="28"/>
      <c r="H67" s="28"/>
      <c r="I67" s="28"/>
      <c r="J67" s="28"/>
      <c r="K67" s="28"/>
      <c r="L67" s="28"/>
      <c r="M67" s="28"/>
      <c r="N67" s="28"/>
      <c r="O67" s="28"/>
    </row>
    <row r="68" ht="15.75" customHeight="1">
      <c r="A68" s="28"/>
      <c r="B68" s="28"/>
      <c r="C68" s="28"/>
      <c r="D68" s="28"/>
      <c r="E68" s="28"/>
      <c r="F68" s="28"/>
      <c r="G68" s="28"/>
      <c r="H68" s="28"/>
      <c r="I68" s="28"/>
      <c r="J68" s="28"/>
      <c r="K68" s="28"/>
      <c r="L68" s="28"/>
      <c r="M68" s="28"/>
      <c r="N68" s="28"/>
      <c r="O68" s="28"/>
    </row>
    <row r="69" ht="15.75" customHeight="1">
      <c r="A69" s="28"/>
      <c r="B69" s="28"/>
      <c r="C69" s="28"/>
      <c r="D69" s="28"/>
      <c r="E69" s="28"/>
      <c r="F69" s="28"/>
      <c r="G69" s="28"/>
      <c r="H69" s="28"/>
      <c r="I69" s="28"/>
      <c r="J69" s="28"/>
      <c r="K69" s="28"/>
      <c r="L69" s="28"/>
      <c r="M69" s="28"/>
      <c r="N69" s="28"/>
      <c r="O69" s="28"/>
    </row>
    <row r="70" ht="15.75" customHeight="1">
      <c r="A70" s="28"/>
      <c r="B70" s="28"/>
      <c r="C70" s="28"/>
      <c r="D70" s="28"/>
      <c r="E70" s="28"/>
      <c r="F70" s="28"/>
      <c r="G70" s="28"/>
      <c r="H70" s="28"/>
      <c r="I70" s="28"/>
      <c r="J70" s="28"/>
      <c r="K70" s="28"/>
      <c r="L70" s="28"/>
      <c r="M70" s="28"/>
      <c r="N70" s="28"/>
      <c r="O70" s="28"/>
    </row>
    <row r="71" ht="15.75" customHeight="1">
      <c r="A71" s="28"/>
      <c r="B71" s="28"/>
      <c r="C71" s="28"/>
      <c r="D71" s="28"/>
      <c r="E71" s="28"/>
      <c r="F71" s="28"/>
      <c r="G71" s="28"/>
      <c r="H71" s="28"/>
      <c r="I71" s="28"/>
      <c r="J71" s="28"/>
      <c r="K71" s="28"/>
      <c r="L71" s="28"/>
      <c r="M71" s="28"/>
      <c r="N71" s="28"/>
      <c r="O71" s="28"/>
    </row>
    <row r="72" ht="15.75" customHeight="1">
      <c r="A72" s="28"/>
      <c r="B72" s="28"/>
      <c r="C72" s="28"/>
      <c r="D72" s="28"/>
      <c r="E72" s="28"/>
      <c r="F72" s="28"/>
      <c r="G72" s="28"/>
      <c r="H72" s="28"/>
      <c r="I72" s="28"/>
      <c r="J72" s="28"/>
      <c r="K72" s="28"/>
      <c r="L72" s="28"/>
      <c r="M72" s="28"/>
      <c r="N72" s="28"/>
      <c r="O72" s="28"/>
    </row>
    <row r="73" ht="15.75" customHeight="1">
      <c r="A73" s="28"/>
      <c r="B73" s="28"/>
      <c r="C73" s="28"/>
      <c r="D73" s="28"/>
      <c r="E73" s="28"/>
      <c r="F73" s="28"/>
      <c r="G73" s="28"/>
      <c r="H73" s="28"/>
      <c r="I73" s="28"/>
      <c r="J73" s="28"/>
      <c r="K73" s="28"/>
      <c r="L73" s="28"/>
      <c r="M73" s="28"/>
      <c r="N73" s="28"/>
      <c r="O73" s="28"/>
    </row>
    <row r="74" ht="15.75" customHeight="1">
      <c r="A74" s="28"/>
      <c r="B74" s="28"/>
      <c r="C74" s="28"/>
      <c r="D74" s="28"/>
      <c r="E74" s="28"/>
      <c r="F74" s="28"/>
      <c r="G74" s="28"/>
      <c r="H74" s="28"/>
      <c r="I74" s="28"/>
      <c r="J74" s="28"/>
      <c r="K74" s="28"/>
      <c r="L74" s="28"/>
      <c r="M74" s="28"/>
      <c r="N74" s="28"/>
      <c r="O74" s="28"/>
    </row>
    <row r="75" ht="15.75" customHeight="1">
      <c r="A75" s="28"/>
      <c r="B75" s="28"/>
      <c r="C75" s="28"/>
      <c r="D75" s="28"/>
      <c r="E75" s="28"/>
      <c r="F75" s="28"/>
      <c r="G75" s="28"/>
      <c r="H75" s="28"/>
      <c r="I75" s="28"/>
      <c r="J75" s="28"/>
      <c r="K75" s="28"/>
      <c r="L75" s="28"/>
      <c r="M75" s="28"/>
      <c r="N75" s="28"/>
      <c r="O75" s="28"/>
    </row>
    <row r="76" ht="15.75" customHeight="1">
      <c r="A76" s="28"/>
      <c r="B76" s="28"/>
      <c r="C76" s="28"/>
      <c r="D76" s="28"/>
      <c r="E76" s="28"/>
      <c r="F76" s="28"/>
      <c r="G76" s="28"/>
      <c r="H76" s="28"/>
      <c r="I76" s="28"/>
      <c r="J76" s="28"/>
      <c r="K76" s="28"/>
      <c r="L76" s="28"/>
      <c r="M76" s="28"/>
      <c r="N76" s="28"/>
      <c r="O76" s="28"/>
    </row>
    <row r="77" ht="15.75" customHeight="1">
      <c r="A77" s="28"/>
      <c r="B77" s="28"/>
      <c r="C77" s="28"/>
      <c r="D77" s="28"/>
      <c r="E77" s="28"/>
      <c r="F77" s="28"/>
      <c r="G77" s="28"/>
      <c r="H77" s="28"/>
      <c r="I77" s="28"/>
      <c r="J77" s="28"/>
      <c r="K77" s="28"/>
      <c r="L77" s="28"/>
      <c r="M77" s="28"/>
      <c r="N77" s="28"/>
      <c r="O77" s="28"/>
    </row>
    <row r="78" ht="15.75" customHeight="1">
      <c r="A78" s="28"/>
      <c r="B78" s="28"/>
      <c r="C78" s="28"/>
      <c r="D78" s="28"/>
      <c r="E78" s="28"/>
      <c r="F78" s="28"/>
      <c r="G78" s="28"/>
      <c r="H78" s="28"/>
      <c r="I78" s="28"/>
      <c r="J78" s="28"/>
      <c r="K78" s="28"/>
      <c r="L78" s="28"/>
      <c r="M78" s="28"/>
      <c r="N78" s="28"/>
      <c r="O78" s="28"/>
    </row>
    <row r="79" ht="15.75" customHeight="1">
      <c r="A79" s="28"/>
      <c r="B79" s="28"/>
      <c r="C79" s="28"/>
      <c r="D79" s="28"/>
      <c r="E79" s="28"/>
      <c r="F79" s="28"/>
      <c r="G79" s="28"/>
      <c r="H79" s="28"/>
      <c r="I79" s="28"/>
      <c r="J79" s="28"/>
      <c r="K79" s="28"/>
      <c r="L79" s="28"/>
      <c r="M79" s="28"/>
      <c r="N79" s="28"/>
      <c r="O79" s="28"/>
    </row>
    <row r="80" ht="15.75" customHeight="1">
      <c r="A80" s="28"/>
      <c r="B80" s="28"/>
      <c r="C80" s="28"/>
      <c r="D80" s="28"/>
      <c r="E80" s="28"/>
      <c r="F80" s="28"/>
      <c r="G80" s="28"/>
      <c r="H80" s="28"/>
      <c r="I80" s="28"/>
      <c r="J80" s="28"/>
      <c r="K80" s="28"/>
      <c r="L80" s="28"/>
      <c r="M80" s="28"/>
      <c r="N80" s="28"/>
      <c r="O80" s="28"/>
    </row>
    <row r="81" ht="15.75" customHeight="1">
      <c r="A81" s="28"/>
      <c r="B81" s="28"/>
      <c r="C81" s="28"/>
      <c r="D81" s="28"/>
      <c r="E81" s="28"/>
      <c r="F81" s="28"/>
      <c r="G81" s="28"/>
      <c r="H81" s="28"/>
      <c r="I81" s="28"/>
      <c r="J81" s="28"/>
      <c r="K81" s="28"/>
      <c r="L81" s="28"/>
      <c r="M81" s="28"/>
      <c r="N81" s="28"/>
      <c r="O81" s="28"/>
    </row>
    <row r="82" ht="15.75" customHeight="1">
      <c r="A82" s="28"/>
      <c r="B82" s="28"/>
      <c r="C82" s="28"/>
      <c r="D82" s="28"/>
      <c r="E82" s="28"/>
      <c r="F82" s="28"/>
      <c r="G82" s="28"/>
      <c r="H82" s="28"/>
      <c r="I82" s="28"/>
      <c r="J82" s="28"/>
      <c r="K82" s="28"/>
      <c r="L82" s="28"/>
      <c r="M82" s="28"/>
      <c r="N82" s="28"/>
      <c r="O82" s="28"/>
    </row>
    <row r="83" ht="15.75" customHeight="1">
      <c r="A83" s="28"/>
      <c r="B83" s="28"/>
      <c r="C83" s="28"/>
      <c r="D83" s="28"/>
      <c r="E83" s="28"/>
      <c r="F83" s="28"/>
      <c r="G83" s="28"/>
      <c r="H83" s="28"/>
      <c r="I83" s="28"/>
      <c r="J83" s="28"/>
      <c r="K83" s="28"/>
      <c r="L83" s="28"/>
      <c r="M83" s="28"/>
      <c r="N83" s="28"/>
      <c r="O83" s="28"/>
    </row>
    <row r="84" ht="15.75" customHeight="1">
      <c r="A84" s="28"/>
      <c r="B84" s="28"/>
      <c r="C84" s="28"/>
      <c r="D84" s="28"/>
      <c r="E84" s="28"/>
      <c r="F84" s="28"/>
      <c r="G84" s="28"/>
      <c r="H84" s="28"/>
      <c r="I84" s="28"/>
      <c r="J84" s="28"/>
      <c r="K84" s="28"/>
      <c r="L84" s="28"/>
      <c r="M84" s="28"/>
      <c r="N84" s="28"/>
      <c r="O84" s="28"/>
    </row>
    <row r="85" ht="15.75" customHeight="1">
      <c r="A85" s="28"/>
      <c r="B85" s="28"/>
      <c r="C85" s="28"/>
      <c r="D85" s="28"/>
      <c r="E85" s="28"/>
      <c r="F85" s="28"/>
      <c r="G85" s="28"/>
      <c r="H85" s="28"/>
      <c r="I85" s="28"/>
      <c r="J85" s="28"/>
      <c r="K85" s="28"/>
      <c r="L85" s="28"/>
      <c r="M85" s="28"/>
      <c r="N85" s="28"/>
      <c r="O85" s="28"/>
    </row>
    <row r="86" ht="15.75" customHeight="1">
      <c r="A86" s="28"/>
      <c r="B86" s="28"/>
      <c r="C86" s="28"/>
      <c r="D86" s="28"/>
      <c r="E86" s="28"/>
      <c r="F86" s="28"/>
      <c r="G86" s="28"/>
      <c r="H86" s="28"/>
      <c r="I86" s="28"/>
      <c r="J86" s="28"/>
      <c r="K86" s="28"/>
      <c r="L86" s="28"/>
      <c r="M86" s="28"/>
      <c r="N86" s="28"/>
      <c r="O86" s="28"/>
    </row>
    <row r="87" ht="15.75" customHeight="1">
      <c r="A87" s="28"/>
      <c r="B87" s="28"/>
      <c r="C87" s="28"/>
      <c r="D87" s="28"/>
      <c r="E87" s="28"/>
      <c r="F87" s="28"/>
      <c r="G87" s="28"/>
      <c r="H87" s="28"/>
      <c r="I87" s="28"/>
      <c r="J87" s="28"/>
      <c r="K87" s="28"/>
      <c r="L87" s="28"/>
      <c r="M87" s="28"/>
      <c r="N87" s="28"/>
      <c r="O87" s="28"/>
    </row>
    <row r="88" ht="15.75" customHeight="1">
      <c r="A88" s="28"/>
      <c r="B88" s="28"/>
      <c r="C88" s="28"/>
      <c r="D88" s="28"/>
      <c r="E88" s="28"/>
      <c r="F88" s="28"/>
      <c r="G88" s="28"/>
      <c r="H88" s="28"/>
      <c r="I88" s="28"/>
      <c r="J88" s="28"/>
      <c r="K88" s="28"/>
      <c r="L88" s="28"/>
      <c r="M88" s="28"/>
      <c r="N88" s="28"/>
      <c r="O88" s="28"/>
    </row>
    <row r="89" ht="15.75" customHeight="1">
      <c r="A89" s="28"/>
      <c r="B89" s="28"/>
      <c r="C89" s="28"/>
      <c r="D89" s="28"/>
      <c r="E89" s="28"/>
      <c r="F89" s="28"/>
      <c r="G89" s="28"/>
      <c r="H89" s="28"/>
      <c r="I89" s="28"/>
      <c r="J89" s="28"/>
      <c r="K89" s="28"/>
      <c r="L89" s="28"/>
      <c r="M89" s="28"/>
      <c r="N89" s="28"/>
      <c r="O89" s="28"/>
    </row>
    <row r="90" ht="15.75" customHeight="1">
      <c r="A90" s="28"/>
      <c r="B90" s="28"/>
      <c r="C90" s="28"/>
      <c r="D90" s="28"/>
      <c r="E90" s="28"/>
      <c r="F90" s="28"/>
      <c r="G90" s="28"/>
      <c r="H90" s="28"/>
      <c r="I90" s="28"/>
      <c r="J90" s="28"/>
      <c r="K90" s="28"/>
      <c r="L90" s="28"/>
      <c r="M90" s="28"/>
      <c r="N90" s="28"/>
      <c r="O90" s="28"/>
    </row>
    <row r="91" ht="15.75" customHeight="1">
      <c r="A91" s="28"/>
      <c r="B91" s="28"/>
      <c r="C91" s="28"/>
      <c r="D91" s="28"/>
      <c r="E91" s="28"/>
      <c r="F91" s="28"/>
      <c r="G91" s="28"/>
      <c r="H91" s="28"/>
      <c r="I91" s="28"/>
      <c r="J91" s="28"/>
      <c r="K91" s="28"/>
      <c r="L91" s="28"/>
      <c r="M91" s="28"/>
      <c r="N91" s="28"/>
      <c r="O91" s="28"/>
    </row>
    <row r="92" ht="15.75" customHeight="1">
      <c r="A92" s="28"/>
      <c r="B92" s="28"/>
      <c r="C92" s="28"/>
      <c r="D92" s="28"/>
      <c r="E92" s="28"/>
      <c r="F92" s="28"/>
      <c r="G92" s="28"/>
      <c r="H92" s="28"/>
      <c r="I92" s="28"/>
      <c r="J92" s="28"/>
      <c r="K92" s="28"/>
      <c r="L92" s="28"/>
      <c r="M92" s="28"/>
      <c r="N92" s="28"/>
      <c r="O92" s="28"/>
    </row>
    <row r="93" ht="15.75" customHeight="1">
      <c r="A93" s="28"/>
      <c r="B93" s="28"/>
      <c r="C93" s="28"/>
      <c r="D93" s="28"/>
      <c r="E93" s="28"/>
      <c r="F93" s="28"/>
      <c r="G93" s="28"/>
      <c r="H93" s="28"/>
      <c r="I93" s="28"/>
      <c r="J93" s="28"/>
      <c r="K93" s="28"/>
      <c r="L93" s="28"/>
      <c r="M93" s="28"/>
      <c r="N93" s="28"/>
      <c r="O93" s="28"/>
    </row>
    <row r="94" ht="15.75" customHeight="1">
      <c r="A94" s="28"/>
      <c r="B94" s="28"/>
      <c r="C94" s="28"/>
      <c r="D94" s="28"/>
      <c r="E94" s="28"/>
      <c r="F94" s="28"/>
      <c r="G94" s="28"/>
      <c r="H94" s="28"/>
      <c r="I94" s="28"/>
      <c r="J94" s="28"/>
      <c r="K94" s="28"/>
      <c r="L94" s="28"/>
      <c r="M94" s="28"/>
      <c r="N94" s="28"/>
      <c r="O94" s="28"/>
    </row>
    <row r="95" ht="15.75" customHeight="1">
      <c r="A95" s="28"/>
      <c r="B95" s="28"/>
      <c r="C95" s="28"/>
      <c r="D95" s="28"/>
      <c r="E95" s="28"/>
      <c r="F95" s="28"/>
      <c r="G95" s="28"/>
      <c r="H95" s="28"/>
      <c r="I95" s="28"/>
      <c r="J95" s="28"/>
      <c r="K95" s="28"/>
      <c r="L95" s="28"/>
      <c r="M95" s="28"/>
      <c r="N95" s="28"/>
      <c r="O95" s="28"/>
    </row>
    <row r="96" ht="15.75" customHeight="1">
      <c r="A96" s="28"/>
      <c r="B96" s="28"/>
      <c r="C96" s="28"/>
      <c r="D96" s="28"/>
      <c r="E96" s="28"/>
      <c r="F96" s="28"/>
      <c r="G96" s="28"/>
      <c r="H96" s="28"/>
      <c r="I96" s="28"/>
      <c r="J96" s="28"/>
      <c r="K96" s="28"/>
      <c r="L96" s="28"/>
      <c r="M96" s="28"/>
      <c r="N96" s="28"/>
      <c r="O96" s="28"/>
    </row>
    <row r="97" ht="15.75" customHeight="1">
      <c r="A97" s="28"/>
      <c r="B97" s="28"/>
      <c r="C97" s="28"/>
      <c r="D97" s="28"/>
      <c r="E97" s="28"/>
      <c r="F97" s="28"/>
      <c r="G97" s="28"/>
      <c r="H97" s="28"/>
      <c r="I97" s="28"/>
      <c r="J97" s="28"/>
      <c r="K97" s="28"/>
      <c r="L97" s="28"/>
      <c r="M97" s="28"/>
      <c r="N97" s="28"/>
      <c r="O97" s="28"/>
    </row>
    <row r="98" ht="15.75" customHeight="1">
      <c r="A98" s="28"/>
      <c r="B98" s="28"/>
      <c r="C98" s="28"/>
      <c r="D98" s="28"/>
      <c r="E98" s="28"/>
      <c r="F98" s="28"/>
      <c r="G98" s="28"/>
      <c r="H98" s="28"/>
      <c r="I98" s="28"/>
      <c r="J98" s="28"/>
      <c r="K98" s="28"/>
      <c r="L98" s="28"/>
      <c r="M98" s="28"/>
      <c r="N98" s="28"/>
      <c r="O98" s="28"/>
    </row>
    <row r="99" ht="15.75" customHeight="1">
      <c r="A99" s="28"/>
      <c r="B99" s="28"/>
      <c r="C99" s="28"/>
      <c r="D99" s="28"/>
      <c r="E99" s="28"/>
      <c r="F99" s="28"/>
      <c r="G99" s="28"/>
      <c r="H99" s="28"/>
      <c r="I99" s="28"/>
      <c r="J99" s="28"/>
      <c r="K99" s="28"/>
      <c r="L99" s="28"/>
      <c r="M99" s="28"/>
      <c r="N99" s="28"/>
      <c r="O99" s="28"/>
    </row>
    <row r="100" ht="15.75" customHeight="1">
      <c r="A100" s="28"/>
      <c r="B100" s="28"/>
      <c r="C100" s="28"/>
      <c r="D100" s="28"/>
      <c r="E100" s="28"/>
      <c r="F100" s="28"/>
      <c r="G100" s="28"/>
      <c r="H100" s="28"/>
      <c r="I100" s="28"/>
      <c r="J100" s="28"/>
      <c r="K100" s="28"/>
      <c r="L100" s="28"/>
      <c r="M100" s="28"/>
      <c r="N100" s="28"/>
      <c r="O100" s="28"/>
    </row>
    <row r="101" ht="15.75" customHeight="1">
      <c r="A101" s="28"/>
      <c r="B101" s="28"/>
      <c r="C101" s="28"/>
      <c r="D101" s="28"/>
      <c r="E101" s="28"/>
      <c r="F101" s="28"/>
      <c r="G101" s="28"/>
      <c r="H101" s="28"/>
      <c r="I101" s="28"/>
      <c r="J101" s="28"/>
      <c r="K101" s="28"/>
      <c r="L101" s="28"/>
      <c r="M101" s="28"/>
      <c r="N101" s="28"/>
      <c r="O101" s="28"/>
    </row>
    <row r="102" ht="15.75" customHeight="1">
      <c r="A102" s="28"/>
      <c r="B102" s="28"/>
      <c r="C102" s="28"/>
      <c r="D102" s="28"/>
      <c r="E102" s="28"/>
      <c r="F102" s="28"/>
      <c r="G102" s="28"/>
      <c r="H102" s="28"/>
      <c r="I102" s="28"/>
      <c r="J102" s="28"/>
      <c r="K102" s="28"/>
      <c r="L102" s="28"/>
      <c r="M102" s="28"/>
      <c r="N102" s="28"/>
      <c r="O102" s="28"/>
    </row>
    <row r="103" ht="15.75" customHeight="1">
      <c r="A103" s="28"/>
      <c r="B103" s="28"/>
      <c r="C103" s="28"/>
      <c r="D103" s="28"/>
      <c r="E103" s="28"/>
      <c r="F103" s="28"/>
      <c r="G103" s="28"/>
      <c r="H103" s="28"/>
      <c r="I103" s="28"/>
      <c r="J103" s="28"/>
      <c r="K103" s="28"/>
      <c r="L103" s="28"/>
      <c r="M103" s="28"/>
      <c r="N103" s="28"/>
      <c r="O103" s="28"/>
    </row>
    <row r="104" ht="15.75" customHeight="1">
      <c r="A104" s="28"/>
      <c r="B104" s="28"/>
      <c r="C104" s="28"/>
      <c r="D104" s="28"/>
      <c r="E104" s="28"/>
      <c r="F104" s="28"/>
      <c r="G104" s="28"/>
      <c r="H104" s="28"/>
      <c r="I104" s="28"/>
      <c r="J104" s="28"/>
      <c r="K104" s="28"/>
      <c r="L104" s="28"/>
      <c r="M104" s="28"/>
      <c r="N104" s="28"/>
      <c r="O104" s="28"/>
    </row>
    <row r="105" ht="15.75" customHeight="1">
      <c r="A105" s="28"/>
      <c r="B105" s="28"/>
      <c r="C105" s="28"/>
      <c r="D105" s="28"/>
      <c r="E105" s="28"/>
      <c r="F105" s="28"/>
      <c r="G105" s="28"/>
      <c r="H105" s="28"/>
      <c r="I105" s="28"/>
      <c r="J105" s="28"/>
      <c r="K105" s="28"/>
      <c r="L105" s="28"/>
      <c r="M105" s="28"/>
      <c r="N105" s="28"/>
      <c r="O105" s="28"/>
    </row>
    <row r="106" ht="15.75" customHeight="1">
      <c r="A106" s="28"/>
      <c r="B106" s="28"/>
      <c r="C106" s="28"/>
      <c r="D106" s="28"/>
      <c r="E106" s="28"/>
      <c r="F106" s="28"/>
      <c r="G106" s="28"/>
      <c r="H106" s="28"/>
      <c r="I106" s="28"/>
      <c r="J106" s="28"/>
      <c r="K106" s="28"/>
      <c r="L106" s="28"/>
      <c r="M106" s="28"/>
      <c r="N106" s="28"/>
      <c r="O106" s="28"/>
    </row>
    <row r="107" ht="15.75" customHeight="1">
      <c r="A107" s="28"/>
      <c r="B107" s="28"/>
      <c r="C107" s="28"/>
      <c r="D107" s="28"/>
      <c r="E107" s="28"/>
      <c r="F107" s="28"/>
      <c r="G107" s="28"/>
      <c r="H107" s="28"/>
      <c r="I107" s="28"/>
      <c r="J107" s="28"/>
      <c r="K107" s="28"/>
      <c r="L107" s="28"/>
      <c r="M107" s="28"/>
      <c r="N107" s="28"/>
      <c r="O107" s="28"/>
    </row>
    <row r="108" ht="15.75" customHeight="1">
      <c r="A108" s="28"/>
      <c r="B108" s="28"/>
      <c r="C108" s="28"/>
      <c r="D108" s="28"/>
      <c r="E108" s="28"/>
      <c r="F108" s="28"/>
      <c r="G108" s="28"/>
      <c r="H108" s="28"/>
      <c r="I108" s="28"/>
      <c r="J108" s="28"/>
      <c r="K108" s="28"/>
      <c r="L108" s="28"/>
      <c r="M108" s="28"/>
      <c r="N108" s="28"/>
      <c r="O108" s="28"/>
    </row>
    <row r="109" ht="15.75" customHeight="1">
      <c r="A109" s="28"/>
      <c r="B109" s="28"/>
      <c r="C109" s="28"/>
      <c r="D109" s="28"/>
      <c r="E109" s="28"/>
      <c r="F109" s="28"/>
      <c r="G109" s="28"/>
      <c r="H109" s="28"/>
      <c r="I109" s="28"/>
      <c r="J109" s="28"/>
      <c r="K109" s="28"/>
      <c r="L109" s="28"/>
      <c r="M109" s="28"/>
      <c r="N109" s="28"/>
      <c r="O109" s="28"/>
    </row>
    <row r="110" ht="15.75" customHeight="1">
      <c r="A110" s="28"/>
      <c r="B110" s="28"/>
      <c r="C110" s="28"/>
      <c r="D110" s="28"/>
      <c r="E110" s="28"/>
      <c r="F110" s="28"/>
      <c r="G110" s="28"/>
      <c r="H110" s="28"/>
      <c r="I110" s="28"/>
      <c r="J110" s="28"/>
      <c r="K110" s="28"/>
      <c r="L110" s="28"/>
      <c r="M110" s="28"/>
      <c r="N110" s="28"/>
      <c r="O110" s="28"/>
    </row>
    <row r="111" ht="15.75" customHeight="1">
      <c r="A111" s="28"/>
      <c r="B111" s="28"/>
      <c r="C111" s="28"/>
      <c r="D111" s="28"/>
      <c r="E111" s="28"/>
      <c r="F111" s="28"/>
      <c r="G111" s="28"/>
      <c r="H111" s="28"/>
      <c r="I111" s="28"/>
      <c r="J111" s="28"/>
      <c r="K111" s="28"/>
      <c r="L111" s="28"/>
      <c r="M111" s="28"/>
      <c r="N111" s="28"/>
      <c r="O111" s="28"/>
    </row>
    <row r="112" ht="15.75" customHeight="1">
      <c r="A112" s="28"/>
      <c r="B112" s="28"/>
      <c r="C112" s="28"/>
      <c r="D112" s="28"/>
      <c r="E112" s="28"/>
      <c r="F112" s="28"/>
      <c r="G112" s="28"/>
      <c r="H112" s="28"/>
      <c r="I112" s="28"/>
      <c r="J112" s="28"/>
      <c r="K112" s="28"/>
      <c r="L112" s="28"/>
      <c r="M112" s="28"/>
      <c r="N112" s="28"/>
      <c r="O112" s="28"/>
    </row>
    <row r="113" ht="15.75" customHeight="1">
      <c r="A113" s="28"/>
      <c r="B113" s="28"/>
      <c r="C113" s="28"/>
      <c r="D113" s="28"/>
      <c r="E113" s="28"/>
      <c r="F113" s="28"/>
      <c r="G113" s="28"/>
      <c r="H113" s="28"/>
      <c r="I113" s="28"/>
      <c r="J113" s="28"/>
      <c r="K113" s="28"/>
      <c r="L113" s="28"/>
      <c r="M113" s="28"/>
      <c r="N113" s="28"/>
      <c r="O113" s="28"/>
    </row>
    <row r="114" ht="15.75" customHeight="1">
      <c r="A114" s="28"/>
      <c r="B114" s="28"/>
      <c r="C114" s="28"/>
      <c r="D114" s="28"/>
      <c r="E114" s="28"/>
      <c r="F114" s="28"/>
      <c r="G114" s="28"/>
      <c r="H114" s="28"/>
      <c r="I114" s="28"/>
      <c r="J114" s="28"/>
      <c r="K114" s="28"/>
      <c r="L114" s="28"/>
      <c r="M114" s="28"/>
      <c r="N114" s="28"/>
      <c r="O114" s="28"/>
    </row>
    <row r="115" ht="15.75" customHeight="1">
      <c r="A115" s="28"/>
      <c r="B115" s="28"/>
      <c r="C115" s="28"/>
      <c r="D115" s="28"/>
      <c r="E115" s="28"/>
      <c r="F115" s="28"/>
      <c r="G115" s="28"/>
      <c r="H115" s="28"/>
      <c r="I115" s="28"/>
      <c r="J115" s="28"/>
      <c r="K115" s="28"/>
      <c r="L115" s="28"/>
      <c r="M115" s="28"/>
      <c r="N115" s="28"/>
      <c r="O115" s="28"/>
    </row>
    <row r="116" ht="15.75" customHeight="1">
      <c r="A116" s="28"/>
      <c r="B116" s="28"/>
      <c r="C116" s="28"/>
      <c r="D116" s="28"/>
      <c r="E116" s="28"/>
      <c r="F116" s="28"/>
      <c r="G116" s="28"/>
      <c r="H116" s="28"/>
      <c r="I116" s="28"/>
      <c r="J116" s="28"/>
      <c r="K116" s="28"/>
      <c r="L116" s="28"/>
      <c r="M116" s="28"/>
      <c r="N116" s="28"/>
      <c r="O116" s="28"/>
    </row>
    <row r="117" ht="15.75" customHeight="1">
      <c r="A117" s="28"/>
      <c r="B117" s="28"/>
      <c r="C117" s="28"/>
      <c r="D117" s="28"/>
      <c r="E117" s="28"/>
      <c r="F117" s="28"/>
      <c r="G117" s="28"/>
      <c r="H117" s="28"/>
      <c r="I117" s="28"/>
      <c r="J117" s="28"/>
      <c r="K117" s="28"/>
      <c r="L117" s="28"/>
      <c r="M117" s="28"/>
      <c r="N117" s="28"/>
      <c r="O117" s="28"/>
    </row>
    <row r="118" ht="15.75" customHeight="1">
      <c r="A118" s="28"/>
      <c r="B118" s="28"/>
      <c r="C118" s="28"/>
      <c r="D118" s="28"/>
      <c r="E118" s="28"/>
      <c r="F118" s="28"/>
      <c r="G118" s="28"/>
      <c r="H118" s="28"/>
      <c r="I118" s="28"/>
      <c r="J118" s="28"/>
      <c r="K118" s="28"/>
      <c r="L118" s="28"/>
      <c r="M118" s="28"/>
      <c r="N118" s="28"/>
      <c r="O118" s="28"/>
    </row>
    <row r="119" ht="15.75" customHeight="1">
      <c r="A119" s="28"/>
      <c r="B119" s="28"/>
      <c r="C119" s="28"/>
      <c r="D119" s="28"/>
      <c r="E119" s="28"/>
      <c r="F119" s="28"/>
      <c r="G119" s="28"/>
      <c r="H119" s="28"/>
      <c r="I119" s="28"/>
      <c r="J119" s="28"/>
      <c r="K119" s="28"/>
      <c r="L119" s="28"/>
      <c r="M119" s="28"/>
      <c r="N119" s="28"/>
      <c r="O119" s="28"/>
    </row>
    <row r="120" ht="15.75" customHeight="1">
      <c r="A120" s="28"/>
      <c r="B120" s="28"/>
      <c r="C120" s="28"/>
      <c r="D120" s="28"/>
      <c r="E120" s="28"/>
      <c r="F120" s="28"/>
      <c r="G120" s="28"/>
      <c r="H120" s="28"/>
      <c r="I120" s="28"/>
      <c r="J120" s="28"/>
      <c r="K120" s="28"/>
      <c r="L120" s="28"/>
      <c r="M120" s="28"/>
      <c r="N120" s="28"/>
      <c r="O120" s="28"/>
    </row>
    <row r="121" ht="15.75" customHeight="1">
      <c r="A121" s="28"/>
      <c r="B121" s="28"/>
      <c r="C121" s="28"/>
      <c r="D121" s="28"/>
      <c r="E121" s="28"/>
      <c r="F121" s="28"/>
      <c r="G121" s="28"/>
      <c r="H121" s="28"/>
      <c r="I121" s="28"/>
      <c r="J121" s="28"/>
      <c r="K121" s="28"/>
      <c r="L121" s="28"/>
      <c r="M121" s="28"/>
      <c r="N121" s="28"/>
      <c r="O121" s="28"/>
    </row>
    <row r="122" ht="15.75" customHeight="1">
      <c r="A122" s="28"/>
      <c r="B122" s="28"/>
      <c r="C122" s="28"/>
      <c r="D122" s="28"/>
      <c r="E122" s="28"/>
      <c r="F122" s="28"/>
      <c r="G122" s="28"/>
      <c r="H122" s="28"/>
      <c r="I122" s="28"/>
      <c r="J122" s="28"/>
      <c r="K122" s="28"/>
      <c r="L122" s="28"/>
      <c r="M122" s="28"/>
      <c r="N122" s="28"/>
      <c r="O122" s="28"/>
    </row>
    <row r="123" ht="15.75" customHeight="1">
      <c r="A123" s="28"/>
      <c r="B123" s="28"/>
      <c r="C123" s="28"/>
      <c r="D123" s="28"/>
      <c r="E123" s="28"/>
      <c r="F123" s="28"/>
      <c r="G123" s="28"/>
      <c r="H123" s="28"/>
      <c r="I123" s="28"/>
      <c r="J123" s="28"/>
      <c r="K123" s="28"/>
      <c r="L123" s="28"/>
      <c r="M123" s="28"/>
      <c r="N123" s="28"/>
      <c r="O123" s="28"/>
    </row>
    <row r="124" ht="15.75" customHeight="1">
      <c r="A124" s="28"/>
      <c r="B124" s="28"/>
      <c r="C124" s="28"/>
      <c r="D124" s="28"/>
      <c r="E124" s="28"/>
      <c r="F124" s="28"/>
      <c r="G124" s="28"/>
      <c r="H124" s="28"/>
      <c r="I124" s="28"/>
      <c r="J124" s="28"/>
      <c r="K124" s="28"/>
      <c r="L124" s="28"/>
      <c r="M124" s="28"/>
      <c r="N124" s="28"/>
      <c r="O124" s="28"/>
    </row>
    <row r="125" ht="15.75" customHeight="1">
      <c r="A125" s="28"/>
      <c r="B125" s="28"/>
      <c r="C125" s="28"/>
      <c r="D125" s="28"/>
      <c r="E125" s="28"/>
      <c r="F125" s="28"/>
      <c r="G125" s="28"/>
      <c r="H125" s="28"/>
      <c r="I125" s="28"/>
      <c r="J125" s="28"/>
      <c r="K125" s="28"/>
      <c r="L125" s="28"/>
      <c r="M125" s="28"/>
      <c r="N125" s="28"/>
      <c r="O125" s="28"/>
    </row>
    <row r="126" ht="15.75" customHeight="1">
      <c r="A126" s="28"/>
      <c r="B126" s="28"/>
      <c r="C126" s="28"/>
      <c r="D126" s="28"/>
      <c r="E126" s="28"/>
      <c r="F126" s="28"/>
      <c r="G126" s="28"/>
      <c r="H126" s="28"/>
      <c r="I126" s="28"/>
      <c r="J126" s="28"/>
      <c r="K126" s="28"/>
      <c r="L126" s="28"/>
      <c r="M126" s="28"/>
      <c r="N126" s="28"/>
      <c r="O126" s="28"/>
    </row>
    <row r="127" ht="15.75" customHeight="1">
      <c r="A127" s="28"/>
      <c r="B127" s="28"/>
      <c r="C127" s="28"/>
      <c r="D127" s="28"/>
      <c r="E127" s="28"/>
      <c r="F127" s="28"/>
      <c r="G127" s="28"/>
      <c r="H127" s="28"/>
      <c r="I127" s="28"/>
      <c r="J127" s="28"/>
      <c r="K127" s="28"/>
      <c r="L127" s="28"/>
      <c r="M127" s="28"/>
      <c r="N127" s="28"/>
      <c r="O127" s="28"/>
    </row>
    <row r="128" ht="15.75" customHeight="1">
      <c r="A128" s="28"/>
      <c r="B128" s="28"/>
      <c r="C128" s="28"/>
      <c r="D128" s="28"/>
      <c r="E128" s="28"/>
      <c r="F128" s="28"/>
      <c r="G128" s="28"/>
      <c r="H128" s="28"/>
      <c r="I128" s="28"/>
      <c r="J128" s="28"/>
      <c r="K128" s="28"/>
      <c r="L128" s="28"/>
      <c r="M128" s="28"/>
      <c r="N128" s="28"/>
      <c r="O128" s="28"/>
    </row>
    <row r="129" ht="15.75" customHeight="1">
      <c r="A129" s="28"/>
      <c r="B129" s="28"/>
      <c r="C129" s="28"/>
      <c r="D129" s="28"/>
      <c r="E129" s="28"/>
      <c r="F129" s="28"/>
      <c r="G129" s="28"/>
      <c r="H129" s="28"/>
      <c r="I129" s="28"/>
      <c r="J129" s="28"/>
      <c r="K129" s="28"/>
      <c r="L129" s="28"/>
      <c r="M129" s="28"/>
      <c r="N129" s="28"/>
      <c r="O129" s="28"/>
    </row>
    <row r="130" ht="15.75" customHeight="1">
      <c r="A130" s="28"/>
      <c r="B130" s="28"/>
      <c r="C130" s="28"/>
      <c r="D130" s="28"/>
      <c r="E130" s="28"/>
      <c r="F130" s="28"/>
      <c r="G130" s="28"/>
      <c r="H130" s="28"/>
      <c r="I130" s="28"/>
      <c r="J130" s="28"/>
      <c r="K130" s="28"/>
      <c r="L130" s="28"/>
      <c r="M130" s="28"/>
      <c r="N130" s="28"/>
      <c r="O130" s="28"/>
    </row>
    <row r="131" ht="15.75" customHeight="1">
      <c r="A131" s="28"/>
      <c r="B131" s="28"/>
      <c r="C131" s="28"/>
      <c r="D131" s="28"/>
      <c r="E131" s="28"/>
      <c r="F131" s="28"/>
      <c r="G131" s="28"/>
      <c r="H131" s="28"/>
      <c r="I131" s="28"/>
      <c r="J131" s="28"/>
      <c r="K131" s="28"/>
      <c r="L131" s="28"/>
      <c r="M131" s="28"/>
      <c r="N131" s="28"/>
      <c r="O131" s="28"/>
    </row>
    <row r="132" ht="15.75" customHeight="1">
      <c r="A132" s="28"/>
      <c r="B132" s="28"/>
      <c r="C132" s="28"/>
      <c r="D132" s="28"/>
      <c r="E132" s="28"/>
      <c r="F132" s="28"/>
      <c r="G132" s="28"/>
      <c r="H132" s="28"/>
      <c r="I132" s="28"/>
      <c r="J132" s="28"/>
      <c r="K132" s="28"/>
      <c r="L132" s="28"/>
      <c r="M132" s="28"/>
      <c r="N132" s="28"/>
      <c r="O132" s="28"/>
    </row>
    <row r="133" ht="15.75" customHeight="1">
      <c r="A133" s="28"/>
      <c r="B133" s="28"/>
      <c r="C133" s="28"/>
      <c r="D133" s="28"/>
      <c r="E133" s="28"/>
      <c r="F133" s="28"/>
      <c r="G133" s="28"/>
      <c r="H133" s="28"/>
      <c r="I133" s="28"/>
      <c r="J133" s="28"/>
      <c r="K133" s="28"/>
      <c r="L133" s="28"/>
      <c r="M133" s="28"/>
      <c r="N133" s="28"/>
      <c r="O133" s="28"/>
    </row>
    <row r="134" ht="15.75" customHeight="1">
      <c r="A134" s="28"/>
      <c r="B134" s="28"/>
      <c r="C134" s="28"/>
      <c r="D134" s="28"/>
      <c r="E134" s="28"/>
      <c r="F134" s="28"/>
      <c r="G134" s="28"/>
      <c r="H134" s="28"/>
      <c r="I134" s="28"/>
      <c r="J134" s="28"/>
      <c r="K134" s="28"/>
      <c r="L134" s="28"/>
      <c r="M134" s="28"/>
      <c r="N134" s="28"/>
      <c r="O134" s="28"/>
    </row>
    <row r="135" ht="15.75" customHeight="1">
      <c r="A135" s="28"/>
      <c r="B135" s="28"/>
      <c r="C135" s="28"/>
      <c r="D135" s="28"/>
      <c r="E135" s="28"/>
      <c r="F135" s="28"/>
      <c r="G135" s="28"/>
      <c r="H135" s="28"/>
      <c r="I135" s="28"/>
      <c r="J135" s="28"/>
      <c r="K135" s="28"/>
      <c r="L135" s="28"/>
      <c r="M135" s="28"/>
      <c r="N135" s="28"/>
      <c r="O135" s="28"/>
    </row>
    <row r="136" ht="15.75" customHeight="1">
      <c r="A136" s="28"/>
      <c r="B136" s="28"/>
      <c r="C136" s="28"/>
      <c r="D136" s="28"/>
      <c r="E136" s="28"/>
      <c r="F136" s="28"/>
      <c r="G136" s="28"/>
      <c r="H136" s="28"/>
      <c r="I136" s="28"/>
      <c r="J136" s="28"/>
      <c r="K136" s="28"/>
      <c r="L136" s="28"/>
      <c r="M136" s="28"/>
      <c r="N136" s="28"/>
      <c r="O136" s="28"/>
    </row>
    <row r="137" ht="15.75" customHeight="1">
      <c r="A137" s="28"/>
      <c r="B137" s="28"/>
      <c r="C137" s="28"/>
      <c r="D137" s="28"/>
      <c r="E137" s="28"/>
      <c r="F137" s="28"/>
      <c r="G137" s="28"/>
      <c r="H137" s="28"/>
      <c r="I137" s="28"/>
      <c r="J137" s="28"/>
      <c r="K137" s="28"/>
      <c r="L137" s="28"/>
      <c r="M137" s="28"/>
      <c r="N137" s="28"/>
      <c r="O137" s="28"/>
    </row>
    <row r="138" ht="15.75" customHeight="1">
      <c r="A138" s="28"/>
      <c r="B138" s="28"/>
      <c r="C138" s="28"/>
      <c r="D138" s="28"/>
      <c r="E138" s="28"/>
      <c r="F138" s="28"/>
      <c r="G138" s="28"/>
      <c r="H138" s="28"/>
      <c r="I138" s="28"/>
      <c r="J138" s="28"/>
      <c r="K138" s="28"/>
      <c r="L138" s="28"/>
      <c r="M138" s="28"/>
      <c r="N138" s="28"/>
      <c r="O138" s="28"/>
    </row>
    <row r="139" ht="15.75" customHeight="1">
      <c r="A139" s="28"/>
      <c r="B139" s="28"/>
      <c r="C139" s="28"/>
      <c r="D139" s="28"/>
      <c r="E139" s="28"/>
      <c r="F139" s="28"/>
      <c r="G139" s="28"/>
      <c r="H139" s="28"/>
      <c r="I139" s="28"/>
      <c r="J139" s="28"/>
      <c r="K139" s="28"/>
      <c r="L139" s="28"/>
      <c r="M139" s="28"/>
      <c r="N139" s="28"/>
      <c r="O139" s="28"/>
    </row>
    <row r="140" ht="15.75" customHeight="1">
      <c r="A140" s="28"/>
      <c r="B140" s="28"/>
      <c r="C140" s="28"/>
      <c r="D140" s="28"/>
      <c r="E140" s="28"/>
      <c r="F140" s="28"/>
      <c r="G140" s="28"/>
      <c r="H140" s="28"/>
      <c r="I140" s="28"/>
      <c r="J140" s="28"/>
      <c r="K140" s="28"/>
      <c r="L140" s="28"/>
      <c r="M140" s="28"/>
      <c r="N140" s="28"/>
      <c r="O140" s="28"/>
    </row>
    <row r="141" ht="15.75" customHeight="1">
      <c r="A141" s="28"/>
      <c r="B141" s="28"/>
      <c r="C141" s="28"/>
      <c r="D141" s="28"/>
      <c r="E141" s="28"/>
      <c r="F141" s="28"/>
      <c r="G141" s="28"/>
      <c r="H141" s="28"/>
      <c r="I141" s="28"/>
      <c r="J141" s="28"/>
      <c r="K141" s="28"/>
      <c r="L141" s="28"/>
      <c r="M141" s="28"/>
      <c r="N141" s="28"/>
      <c r="O141" s="28"/>
    </row>
    <row r="142" ht="15.75" customHeight="1">
      <c r="A142" s="28"/>
      <c r="B142" s="28"/>
      <c r="C142" s="28"/>
      <c r="D142" s="28"/>
      <c r="E142" s="28"/>
      <c r="F142" s="28"/>
      <c r="G142" s="28"/>
      <c r="H142" s="28"/>
      <c r="I142" s="28"/>
      <c r="J142" s="28"/>
      <c r="K142" s="28"/>
      <c r="L142" s="28"/>
      <c r="M142" s="28"/>
      <c r="N142" s="28"/>
      <c r="O142" s="28"/>
    </row>
    <row r="143" ht="15.75" customHeight="1">
      <c r="A143" s="28"/>
      <c r="B143" s="28"/>
      <c r="C143" s="28"/>
      <c r="D143" s="28"/>
      <c r="E143" s="28"/>
      <c r="F143" s="28"/>
      <c r="G143" s="28"/>
      <c r="H143" s="28"/>
      <c r="I143" s="28"/>
      <c r="J143" s="28"/>
      <c r="K143" s="28"/>
      <c r="L143" s="28"/>
      <c r="M143" s="28"/>
      <c r="N143" s="28"/>
      <c r="O143" s="28"/>
    </row>
    <row r="144" ht="15.75" customHeight="1">
      <c r="A144" s="28"/>
      <c r="B144" s="28"/>
      <c r="C144" s="28"/>
      <c r="D144" s="28"/>
      <c r="E144" s="28"/>
      <c r="F144" s="28"/>
      <c r="G144" s="28"/>
      <c r="H144" s="28"/>
      <c r="I144" s="28"/>
      <c r="J144" s="28"/>
      <c r="K144" s="28"/>
      <c r="L144" s="28"/>
      <c r="M144" s="28"/>
      <c r="N144" s="28"/>
      <c r="O144" s="28"/>
    </row>
    <row r="145" ht="15.75" customHeight="1">
      <c r="A145" s="28"/>
      <c r="B145" s="28"/>
      <c r="C145" s="28"/>
      <c r="D145" s="28"/>
      <c r="E145" s="28"/>
      <c r="F145" s="28"/>
      <c r="G145" s="28"/>
      <c r="H145" s="28"/>
      <c r="I145" s="28"/>
      <c r="J145" s="28"/>
      <c r="K145" s="28"/>
      <c r="L145" s="28"/>
      <c r="M145" s="28"/>
      <c r="N145" s="28"/>
      <c r="O145" s="28"/>
    </row>
    <row r="146" ht="15.75" customHeight="1">
      <c r="A146" s="28"/>
      <c r="B146" s="28"/>
      <c r="C146" s="28"/>
      <c r="D146" s="28"/>
      <c r="E146" s="28"/>
      <c r="F146" s="28"/>
      <c r="G146" s="28"/>
      <c r="H146" s="28"/>
      <c r="I146" s="28"/>
      <c r="J146" s="28"/>
      <c r="K146" s="28"/>
      <c r="L146" s="28"/>
      <c r="M146" s="28"/>
      <c r="N146" s="28"/>
      <c r="O146" s="28"/>
    </row>
    <row r="147" ht="15.75" customHeight="1">
      <c r="A147" s="28"/>
      <c r="B147" s="28"/>
      <c r="C147" s="28"/>
      <c r="D147" s="28"/>
      <c r="E147" s="28"/>
      <c r="F147" s="28"/>
      <c r="G147" s="28"/>
      <c r="H147" s="28"/>
      <c r="I147" s="28"/>
      <c r="J147" s="28"/>
      <c r="K147" s="28"/>
      <c r="L147" s="28"/>
      <c r="M147" s="28"/>
      <c r="N147" s="28"/>
      <c r="O147" s="28"/>
    </row>
    <row r="148" ht="15.75" customHeight="1">
      <c r="A148" s="28"/>
      <c r="B148" s="28"/>
      <c r="C148" s="28"/>
      <c r="D148" s="28"/>
      <c r="E148" s="28"/>
      <c r="F148" s="28"/>
      <c r="G148" s="28"/>
      <c r="H148" s="28"/>
      <c r="I148" s="28"/>
      <c r="J148" s="28"/>
      <c r="K148" s="28"/>
      <c r="L148" s="28"/>
      <c r="M148" s="28"/>
      <c r="N148" s="28"/>
      <c r="O148" s="28"/>
    </row>
    <row r="149" ht="15.75" customHeight="1">
      <c r="A149" s="28"/>
      <c r="B149" s="28"/>
      <c r="C149" s="28"/>
      <c r="D149" s="28"/>
      <c r="E149" s="28"/>
      <c r="F149" s="28"/>
      <c r="G149" s="28"/>
      <c r="H149" s="28"/>
      <c r="I149" s="28"/>
      <c r="J149" s="28"/>
      <c r="K149" s="28"/>
      <c r="L149" s="28"/>
      <c r="M149" s="28"/>
      <c r="N149" s="28"/>
      <c r="O149" s="28"/>
    </row>
    <row r="150" ht="15.75" customHeight="1">
      <c r="A150" s="28"/>
      <c r="B150" s="28"/>
      <c r="C150" s="28"/>
      <c r="D150" s="28"/>
      <c r="E150" s="28"/>
      <c r="F150" s="28"/>
      <c r="G150" s="28"/>
      <c r="H150" s="28"/>
      <c r="I150" s="28"/>
      <c r="J150" s="28"/>
      <c r="K150" s="28"/>
      <c r="L150" s="28"/>
      <c r="M150" s="28"/>
      <c r="N150" s="28"/>
      <c r="O150" s="28"/>
    </row>
    <row r="151" ht="15.75" customHeight="1">
      <c r="A151" s="28"/>
      <c r="B151" s="28"/>
      <c r="C151" s="28"/>
      <c r="D151" s="28"/>
      <c r="E151" s="28"/>
      <c r="F151" s="28"/>
      <c r="G151" s="28"/>
      <c r="H151" s="28"/>
      <c r="I151" s="28"/>
      <c r="J151" s="28"/>
      <c r="K151" s="28"/>
      <c r="L151" s="28"/>
      <c r="M151" s="28"/>
      <c r="N151" s="28"/>
      <c r="O151" s="28"/>
    </row>
    <row r="152" ht="15.75" customHeight="1">
      <c r="A152" s="28"/>
      <c r="B152" s="28"/>
      <c r="C152" s="28"/>
      <c r="D152" s="28"/>
      <c r="E152" s="28"/>
      <c r="F152" s="28"/>
      <c r="G152" s="28"/>
      <c r="H152" s="28"/>
      <c r="I152" s="28"/>
      <c r="J152" s="28"/>
      <c r="K152" s="28"/>
      <c r="L152" s="28"/>
      <c r="M152" s="28"/>
      <c r="N152" s="28"/>
      <c r="O152" s="28"/>
    </row>
    <row r="153" ht="15.75" customHeight="1">
      <c r="A153" s="28"/>
      <c r="B153" s="28"/>
      <c r="C153" s="28"/>
      <c r="D153" s="28"/>
      <c r="E153" s="28"/>
      <c r="F153" s="28"/>
      <c r="G153" s="28"/>
      <c r="H153" s="28"/>
      <c r="I153" s="28"/>
      <c r="J153" s="28"/>
      <c r="K153" s="28"/>
      <c r="L153" s="28"/>
      <c r="M153" s="28"/>
      <c r="N153" s="28"/>
      <c r="O153" s="28"/>
    </row>
    <row r="154" ht="15.75" customHeight="1">
      <c r="A154" s="28"/>
      <c r="B154" s="28"/>
      <c r="C154" s="28"/>
      <c r="D154" s="28"/>
      <c r="E154" s="28"/>
      <c r="F154" s="28"/>
      <c r="G154" s="28"/>
      <c r="H154" s="28"/>
      <c r="I154" s="28"/>
      <c r="J154" s="28"/>
      <c r="K154" s="28"/>
      <c r="L154" s="28"/>
      <c r="M154" s="28"/>
      <c r="N154" s="28"/>
      <c r="O154" s="28"/>
    </row>
    <row r="155" ht="15.75" customHeight="1">
      <c r="A155" s="28"/>
      <c r="B155" s="28"/>
      <c r="C155" s="28"/>
      <c r="D155" s="28"/>
      <c r="E155" s="28"/>
      <c r="F155" s="28"/>
      <c r="G155" s="28"/>
      <c r="H155" s="28"/>
      <c r="I155" s="28"/>
      <c r="J155" s="28"/>
      <c r="K155" s="28"/>
      <c r="L155" s="28"/>
      <c r="M155" s="28"/>
      <c r="N155" s="28"/>
      <c r="O155" s="28"/>
    </row>
    <row r="156" ht="15.75" customHeight="1">
      <c r="A156" s="28"/>
      <c r="B156" s="28"/>
      <c r="C156" s="28"/>
      <c r="D156" s="28"/>
      <c r="E156" s="28"/>
      <c r="F156" s="28"/>
      <c r="G156" s="28"/>
      <c r="H156" s="28"/>
      <c r="I156" s="28"/>
      <c r="J156" s="28"/>
      <c r="K156" s="28"/>
      <c r="L156" s="28"/>
      <c r="M156" s="28"/>
      <c r="N156" s="28"/>
      <c r="O156" s="28"/>
    </row>
    <row r="157" ht="15.75" customHeight="1">
      <c r="A157" s="28"/>
      <c r="B157" s="28"/>
      <c r="C157" s="28"/>
      <c r="D157" s="28"/>
      <c r="E157" s="28"/>
      <c r="F157" s="28"/>
      <c r="G157" s="28"/>
      <c r="H157" s="28"/>
      <c r="I157" s="28"/>
      <c r="J157" s="28"/>
      <c r="K157" s="28"/>
      <c r="L157" s="28"/>
      <c r="M157" s="28"/>
      <c r="N157" s="28"/>
      <c r="O157" s="28"/>
    </row>
    <row r="158" ht="15.75" customHeight="1">
      <c r="A158" s="28"/>
      <c r="B158" s="28"/>
      <c r="C158" s="28"/>
      <c r="D158" s="28"/>
      <c r="E158" s="28"/>
      <c r="F158" s="28"/>
      <c r="G158" s="28"/>
      <c r="H158" s="28"/>
      <c r="I158" s="28"/>
      <c r="J158" s="28"/>
      <c r="K158" s="28"/>
      <c r="L158" s="28"/>
      <c r="M158" s="28"/>
      <c r="N158" s="28"/>
      <c r="O158" s="28"/>
    </row>
    <row r="159" ht="15.75" customHeight="1">
      <c r="A159" s="28"/>
      <c r="B159" s="28"/>
      <c r="C159" s="28"/>
      <c r="D159" s="28"/>
      <c r="E159" s="28"/>
      <c r="F159" s="28"/>
      <c r="G159" s="28"/>
      <c r="H159" s="28"/>
      <c r="I159" s="28"/>
      <c r="J159" s="28"/>
      <c r="K159" s="28"/>
      <c r="L159" s="28"/>
      <c r="M159" s="28"/>
      <c r="N159" s="28"/>
      <c r="O159" s="28"/>
    </row>
    <row r="160" ht="15.75" customHeight="1">
      <c r="A160" s="28"/>
      <c r="B160" s="28"/>
      <c r="C160" s="28"/>
      <c r="D160" s="28"/>
      <c r="E160" s="28"/>
      <c r="F160" s="28"/>
      <c r="G160" s="28"/>
      <c r="H160" s="28"/>
      <c r="I160" s="28"/>
      <c r="J160" s="28"/>
      <c r="K160" s="28"/>
      <c r="L160" s="28"/>
      <c r="M160" s="28"/>
      <c r="N160" s="28"/>
      <c r="O160" s="28"/>
    </row>
    <row r="161" ht="15.75" customHeight="1">
      <c r="A161" s="28"/>
      <c r="B161" s="28"/>
      <c r="C161" s="28"/>
      <c r="D161" s="28"/>
      <c r="E161" s="28"/>
      <c r="F161" s="28"/>
      <c r="G161" s="28"/>
      <c r="H161" s="28"/>
      <c r="I161" s="28"/>
      <c r="J161" s="28"/>
      <c r="K161" s="28"/>
      <c r="L161" s="28"/>
      <c r="M161" s="28"/>
      <c r="N161" s="28"/>
      <c r="O161" s="28"/>
    </row>
    <row r="162" ht="15.75" customHeight="1">
      <c r="A162" s="28"/>
      <c r="B162" s="28"/>
      <c r="C162" s="28"/>
      <c r="D162" s="28"/>
      <c r="E162" s="28"/>
      <c r="F162" s="28"/>
      <c r="G162" s="28"/>
      <c r="H162" s="28"/>
      <c r="I162" s="28"/>
      <c r="J162" s="28"/>
      <c r="K162" s="28"/>
      <c r="L162" s="28"/>
      <c r="M162" s="28"/>
      <c r="N162" s="28"/>
      <c r="O162" s="28"/>
    </row>
    <row r="163" ht="15.75" customHeight="1">
      <c r="A163" s="28"/>
      <c r="B163" s="28"/>
      <c r="C163" s="28"/>
      <c r="D163" s="28"/>
      <c r="E163" s="28"/>
      <c r="F163" s="28"/>
      <c r="G163" s="28"/>
      <c r="H163" s="28"/>
      <c r="I163" s="28"/>
      <c r="J163" s="28"/>
      <c r="K163" s="28"/>
      <c r="L163" s="28"/>
      <c r="M163" s="28"/>
      <c r="N163" s="28"/>
      <c r="O163" s="28"/>
    </row>
    <row r="164" ht="15.75" customHeight="1">
      <c r="A164" s="28"/>
      <c r="B164" s="28"/>
      <c r="C164" s="28"/>
      <c r="D164" s="28"/>
      <c r="E164" s="28"/>
      <c r="F164" s="28"/>
      <c r="G164" s="28"/>
      <c r="H164" s="28"/>
      <c r="I164" s="28"/>
      <c r="J164" s="28"/>
      <c r="K164" s="28"/>
      <c r="L164" s="28"/>
      <c r="M164" s="28"/>
      <c r="N164" s="28"/>
      <c r="O164" s="28"/>
    </row>
    <row r="165" ht="15.75" customHeight="1">
      <c r="A165" s="28"/>
      <c r="B165" s="28"/>
      <c r="C165" s="28"/>
      <c r="D165" s="28"/>
      <c r="E165" s="28"/>
      <c r="F165" s="28"/>
      <c r="G165" s="28"/>
      <c r="H165" s="28"/>
      <c r="I165" s="28"/>
      <c r="J165" s="28"/>
      <c r="K165" s="28"/>
      <c r="L165" s="28"/>
      <c r="M165" s="28"/>
      <c r="N165" s="28"/>
      <c r="O165" s="28"/>
    </row>
    <row r="166" ht="15.75" customHeight="1">
      <c r="A166" s="28"/>
      <c r="B166" s="28"/>
      <c r="C166" s="28"/>
      <c r="D166" s="28"/>
      <c r="E166" s="28"/>
      <c r="F166" s="28"/>
      <c r="G166" s="28"/>
      <c r="H166" s="28"/>
      <c r="I166" s="28"/>
      <c r="J166" s="28"/>
      <c r="K166" s="28"/>
      <c r="L166" s="28"/>
      <c r="M166" s="28"/>
      <c r="N166" s="28"/>
      <c r="O166" s="28"/>
    </row>
    <row r="167" ht="15.75" customHeight="1">
      <c r="A167" s="28"/>
      <c r="B167" s="28"/>
      <c r="C167" s="28"/>
      <c r="D167" s="28"/>
      <c r="E167" s="28"/>
      <c r="F167" s="28"/>
      <c r="G167" s="28"/>
      <c r="H167" s="28"/>
      <c r="I167" s="28"/>
      <c r="J167" s="28"/>
      <c r="K167" s="28"/>
      <c r="L167" s="28"/>
      <c r="M167" s="28"/>
      <c r="N167" s="28"/>
      <c r="O167" s="28"/>
    </row>
    <row r="168" ht="15.75" customHeight="1">
      <c r="A168" s="28"/>
      <c r="B168" s="28"/>
      <c r="C168" s="28"/>
      <c r="D168" s="28"/>
      <c r="E168" s="28"/>
      <c r="F168" s="28"/>
      <c r="G168" s="28"/>
      <c r="H168" s="28"/>
      <c r="I168" s="28"/>
      <c r="J168" s="28"/>
      <c r="K168" s="28"/>
      <c r="L168" s="28"/>
      <c r="M168" s="28"/>
      <c r="N168" s="28"/>
      <c r="O168" s="28"/>
    </row>
    <row r="169" ht="15.75" customHeight="1">
      <c r="A169" s="28"/>
      <c r="B169" s="28"/>
      <c r="C169" s="28"/>
      <c r="D169" s="28"/>
      <c r="E169" s="28"/>
      <c r="F169" s="28"/>
      <c r="G169" s="28"/>
      <c r="H169" s="28"/>
      <c r="I169" s="28"/>
      <c r="J169" s="28"/>
      <c r="K169" s="28"/>
      <c r="L169" s="28"/>
      <c r="M169" s="28"/>
      <c r="N169" s="28"/>
      <c r="O169" s="28"/>
    </row>
    <row r="170" ht="15.75" customHeight="1">
      <c r="A170" s="28"/>
      <c r="B170" s="28"/>
      <c r="C170" s="28"/>
      <c r="D170" s="28"/>
      <c r="E170" s="28"/>
      <c r="F170" s="28"/>
      <c r="G170" s="28"/>
      <c r="H170" s="28"/>
      <c r="I170" s="28"/>
      <c r="J170" s="28"/>
      <c r="K170" s="28"/>
      <c r="L170" s="28"/>
      <c r="M170" s="28"/>
      <c r="N170" s="28"/>
      <c r="O170" s="28"/>
    </row>
    <row r="171" ht="15.75" customHeight="1">
      <c r="A171" s="28"/>
      <c r="B171" s="28"/>
      <c r="C171" s="28"/>
      <c r="D171" s="28"/>
      <c r="E171" s="28"/>
      <c r="F171" s="28"/>
      <c r="G171" s="28"/>
      <c r="H171" s="28"/>
      <c r="I171" s="28"/>
      <c r="J171" s="28"/>
      <c r="K171" s="28"/>
      <c r="L171" s="28"/>
      <c r="M171" s="28"/>
      <c r="N171" s="28"/>
      <c r="O171" s="28"/>
    </row>
    <row r="172" ht="15.75" customHeight="1">
      <c r="A172" s="28"/>
      <c r="B172" s="28"/>
      <c r="C172" s="28"/>
      <c r="D172" s="28"/>
      <c r="E172" s="28"/>
      <c r="F172" s="28"/>
      <c r="G172" s="28"/>
      <c r="H172" s="28"/>
      <c r="I172" s="28"/>
      <c r="J172" s="28"/>
      <c r="K172" s="28"/>
      <c r="L172" s="28"/>
      <c r="M172" s="28"/>
      <c r="N172" s="28"/>
      <c r="O172" s="28"/>
    </row>
    <row r="173" ht="15.75" customHeight="1">
      <c r="A173" s="28"/>
      <c r="B173" s="28"/>
      <c r="C173" s="28"/>
      <c r="D173" s="28"/>
      <c r="E173" s="28"/>
      <c r="F173" s="28"/>
      <c r="G173" s="28"/>
      <c r="H173" s="28"/>
      <c r="I173" s="28"/>
      <c r="J173" s="28"/>
      <c r="K173" s="28"/>
      <c r="L173" s="28"/>
      <c r="M173" s="28"/>
      <c r="N173" s="28"/>
      <c r="O173" s="28"/>
    </row>
    <row r="174" ht="15.75" customHeight="1">
      <c r="A174" s="28"/>
      <c r="B174" s="28"/>
      <c r="C174" s="28"/>
      <c r="D174" s="28"/>
      <c r="E174" s="28"/>
      <c r="F174" s="28"/>
      <c r="G174" s="28"/>
      <c r="H174" s="28"/>
      <c r="I174" s="28"/>
      <c r="J174" s="28"/>
      <c r="K174" s="28"/>
      <c r="L174" s="28"/>
      <c r="M174" s="28"/>
      <c r="N174" s="28"/>
      <c r="O174" s="28"/>
    </row>
    <row r="175" ht="15.75" customHeight="1">
      <c r="A175" s="28"/>
      <c r="B175" s="28"/>
      <c r="C175" s="28"/>
      <c r="D175" s="28"/>
      <c r="E175" s="28"/>
      <c r="F175" s="28"/>
      <c r="G175" s="28"/>
      <c r="H175" s="28"/>
      <c r="I175" s="28"/>
      <c r="J175" s="28"/>
      <c r="K175" s="28"/>
      <c r="L175" s="28"/>
      <c r="M175" s="28"/>
      <c r="N175" s="28"/>
      <c r="O175" s="28"/>
    </row>
    <row r="176" ht="15.75" customHeight="1">
      <c r="A176" s="28"/>
      <c r="B176" s="28"/>
      <c r="C176" s="28"/>
      <c r="D176" s="28"/>
      <c r="E176" s="28"/>
      <c r="F176" s="28"/>
      <c r="G176" s="28"/>
      <c r="H176" s="28"/>
      <c r="I176" s="28"/>
      <c r="J176" s="28"/>
      <c r="K176" s="28"/>
      <c r="L176" s="28"/>
      <c r="M176" s="28"/>
      <c r="N176" s="28"/>
      <c r="O176" s="28"/>
    </row>
    <row r="177" ht="15.75" customHeight="1">
      <c r="A177" s="28"/>
      <c r="B177" s="28"/>
      <c r="C177" s="28"/>
      <c r="D177" s="28"/>
      <c r="E177" s="28"/>
      <c r="F177" s="28"/>
      <c r="G177" s="28"/>
      <c r="H177" s="28"/>
      <c r="I177" s="28"/>
      <c r="J177" s="28"/>
      <c r="K177" s="28"/>
      <c r="L177" s="28"/>
      <c r="M177" s="28"/>
      <c r="N177" s="28"/>
      <c r="O177" s="28"/>
    </row>
    <row r="178" ht="15.75" customHeight="1">
      <c r="A178" s="28"/>
      <c r="B178" s="28"/>
      <c r="C178" s="28"/>
      <c r="D178" s="28"/>
      <c r="E178" s="28"/>
      <c r="F178" s="28"/>
      <c r="G178" s="28"/>
      <c r="H178" s="28"/>
      <c r="I178" s="28"/>
      <c r="J178" s="28"/>
      <c r="K178" s="28"/>
      <c r="L178" s="28"/>
      <c r="M178" s="28"/>
      <c r="N178" s="28"/>
      <c r="O178" s="28"/>
    </row>
    <row r="179" ht="15.75" customHeight="1">
      <c r="A179" s="28"/>
      <c r="B179" s="28"/>
      <c r="C179" s="28"/>
      <c r="D179" s="28"/>
      <c r="E179" s="28"/>
      <c r="F179" s="28"/>
      <c r="G179" s="28"/>
      <c r="H179" s="28"/>
      <c r="I179" s="28"/>
      <c r="J179" s="28"/>
      <c r="K179" s="28"/>
      <c r="L179" s="28"/>
      <c r="M179" s="28"/>
      <c r="N179" s="28"/>
      <c r="O179" s="28"/>
    </row>
    <row r="180" ht="15.75" customHeight="1">
      <c r="A180" s="28"/>
      <c r="B180" s="28"/>
      <c r="C180" s="28"/>
      <c r="D180" s="28"/>
      <c r="E180" s="28"/>
      <c r="F180" s="28"/>
      <c r="G180" s="28"/>
      <c r="H180" s="28"/>
      <c r="I180" s="28"/>
      <c r="J180" s="28"/>
      <c r="K180" s="28"/>
      <c r="L180" s="28"/>
      <c r="M180" s="28"/>
      <c r="N180" s="28"/>
      <c r="O180" s="28"/>
    </row>
    <row r="181" ht="15.75" customHeight="1">
      <c r="A181" s="28"/>
      <c r="B181" s="28"/>
      <c r="C181" s="28"/>
      <c r="D181" s="28"/>
      <c r="E181" s="28"/>
      <c r="F181" s="28"/>
      <c r="G181" s="28"/>
      <c r="H181" s="28"/>
      <c r="I181" s="28"/>
      <c r="J181" s="28"/>
      <c r="K181" s="28"/>
      <c r="L181" s="28"/>
      <c r="M181" s="28"/>
      <c r="N181" s="28"/>
      <c r="O181" s="28"/>
    </row>
    <row r="182" ht="15.75" customHeight="1">
      <c r="A182" s="28"/>
      <c r="B182" s="28"/>
      <c r="C182" s="28"/>
      <c r="D182" s="28"/>
      <c r="E182" s="28"/>
      <c r="F182" s="28"/>
      <c r="G182" s="28"/>
      <c r="H182" s="28"/>
      <c r="I182" s="28"/>
      <c r="J182" s="28"/>
      <c r="K182" s="28"/>
      <c r="L182" s="28"/>
      <c r="M182" s="28"/>
      <c r="N182" s="28"/>
      <c r="O182" s="28"/>
    </row>
    <row r="183" ht="15.75" customHeight="1">
      <c r="A183" s="28"/>
      <c r="B183" s="28"/>
      <c r="C183" s="28"/>
      <c r="D183" s="28"/>
      <c r="E183" s="28"/>
      <c r="F183" s="28"/>
      <c r="G183" s="28"/>
      <c r="H183" s="28"/>
      <c r="I183" s="28"/>
      <c r="J183" s="28"/>
      <c r="K183" s="28"/>
      <c r="L183" s="28"/>
      <c r="M183" s="28"/>
      <c r="N183" s="28"/>
      <c r="O183" s="28"/>
    </row>
    <row r="184" ht="15.75" customHeight="1">
      <c r="A184" s="28"/>
      <c r="B184" s="28"/>
      <c r="C184" s="28"/>
      <c r="D184" s="28"/>
      <c r="E184" s="28"/>
      <c r="F184" s="28"/>
      <c r="G184" s="28"/>
      <c r="H184" s="28"/>
      <c r="I184" s="28"/>
      <c r="J184" s="28"/>
      <c r="K184" s="28"/>
      <c r="L184" s="28"/>
      <c r="M184" s="28"/>
      <c r="N184" s="28"/>
      <c r="O184" s="28"/>
    </row>
    <row r="185" ht="15.75" customHeight="1">
      <c r="A185" s="28"/>
      <c r="B185" s="28"/>
      <c r="C185" s="28"/>
      <c r="D185" s="28"/>
      <c r="E185" s="28"/>
      <c r="F185" s="28"/>
      <c r="G185" s="28"/>
      <c r="H185" s="28"/>
      <c r="I185" s="28"/>
      <c r="J185" s="28"/>
      <c r="K185" s="28"/>
      <c r="L185" s="28"/>
      <c r="M185" s="28"/>
      <c r="N185" s="28"/>
      <c r="O185" s="28"/>
    </row>
    <row r="186" ht="15.75" customHeight="1">
      <c r="A186" s="28"/>
      <c r="B186" s="28"/>
      <c r="C186" s="28"/>
      <c r="D186" s="28"/>
      <c r="E186" s="28"/>
      <c r="F186" s="28"/>
      <c r="G186" s="28"/>
      <c r="H186" s="28"/>
      <c r="I186" s="28"/>
      <c r="J186" s="28"/>
      <c r="K186" s="28"/>
      <c r="L186" s="28"/>
      <c r="M186" s="28"/>
      <c r="N186" s="28"/>
      <c r="O186" s="28"/>
    </row>
    <row r="187" ht="15.75" customHeight="1">
      <c r="A187" s="28"/>
      <c r="B187" s="28"/>
      <c r="C187" s="28"/>
      <c r="D187" s="28"/>
      <c r="E187" s="28"/>
      <c r="F187" s="28"/>
      <c r="G187" s="28"/>
      <c r="H187" s="28"/>
      <c r="I187" s="28"/>
      <c r="J187" s="28"/>
      <c r="K187" s="28"/>
      <c r="L187" s="28"/>
      <c r="M187" s="28"/>
      <c r="N187" s="28"/>
      <c r="O187" s="28"/>
    </row>
    <row r="188" ht="15.75" customHeight="1">
      <c r="A188" s="28"/>
      <c r="B188" s="28"/>
      <c r="C188" s="28"/>
      <c r="D188" s="28"/>
      <c r="E188" s="28"/>
      <c r="F188" s="28"/>
      <c r="G188" s="28"/>
      <c r="H188" s="28"/>
      <c r="I188" s="28"/>
      <c r="J188" s="28"/>
      <c r="K188" s="28"/>
      <c r="L188" s="28"/>
      <c r="M188" s="28"/>
      <c r="N188" s="28"/>
      <c r="O188" s="28"/>
    </row>
    <row r="189" ht="15.75" customHeight="1">
      <c r="A189" s="28"/>
      <c r="B189" s="28"/>
      <c r="C189" s="28"/>
      <c r="D189" s="28"/>
      <c r="E189" s="28"/>
      <c r="F189" s="28"/>
      <c r="G189" s="28"/>
      <c r="H189" s="28"/>
      <c r="I189" s="28"/>
      <c r="J189" s="28"/>
      <c r="K189" s="28"/>
      <c r="L189" s="28"/>
      <c r="M189" s="28"/>
      <c r="N189" s="28"/>
      <c r="O189" s="28"/>
    </row>
    <row r="190" ht="15.75" customHeight="1">
      <c r="A190" s="28"/>
      <c r="B190" s="28"/>
      <c r="C190" s="28"/>
      <c r="D190" s="28"/>
      <c r="E190" s="28"/>
      <c r="F190" s="28"/>
      <c r="G190" s="28"/>
      <c r="H190" s="28"/>
      <c r="I190" s="28"/>
      <c r="J190" s="28"/>
      <c r="K190" s="28"/>
      <c r="L190" s="28"/>
      <c r="M190" s="28"/>
      <c r="N190" s="28"/>
      <c r="O190" s="28"/>
    </row>
    <row r="191" ht="15.75" customHeight="1">
      <c r="A191" s="28"/>
      <c r="B191" s="28"/>
      <c r="C191" s="28"/>
      <c r="D191" s="28"/>
      <c r="E191" s="28"/>
      <c r="F191" s="28"/>
      <c r="G191" s="28"/>
      <c r="H191" s="28"/>
      <c r="I191" s="28"/>
      <c r="J191" s="28"/>
      <c r="K191" s="28"/>
      <c r="L191" s="28"/>
      <c r="M191" s="28"/>
      <c r="N191" s="28"/>
      <c r="O191" s="28"/>
    </row>
    <row r="192" ht="15.75" customHeight="1">
      <c r="A192" s="28"/>
      <c r="B192" s="28"/>
      <c r="C192" s="28"/>
      <c r="D192" s="28"/>
      <c r="E192" s="28"/>
      <c r="F192" s="28"/>
      <c r="G192" s="28"/>
      <c r="H192" s="28"/>
      <c r="I192" s="28"/>
      <c r="J192" s="28"/>
      <c r="K192" s="28"/>
      <c r="L192" s="28"/>
      <c r="M192" s="28"/>
      <c r="N192" s="28"/>
      <c r="O192" s="28"/>
    </row>
    <row r="193" ht="15.75" customHeight="1">
      <c r="A193" s="28"/>
      <c r="B193" s="28"/>
      <c r="C193" s="28"/>
      <c r="D193" s="28"/>
      <c r="E193" s="28"/>
      <c r="F193" s="28"/>
      <c r="G193" s="28"/>
      <c r="H193" s="28"/>
      <c r="I193" s="28"/>
      <c r="J193" s="28"/>
      <c r="K193" s="28"/>
      <c r="L193" s="28"/>
      <c r="M193" s="28"/>
      <c r="N193" s="28"/>
      <c r="O193" s="28"/>
    </row>
    <row r="194" ht="15.75" customHeight="1">
      <c r="A194" s="28"/>
      <c r="B194" s="28"/>
      <c r="C194" s="28"/>
      <c r="D194" s="28"/>
      <c r="E194" s="28"/>
      <c r="F194" s="28"/>
      <c r="G194" s="28"/>
      <c r="H194" s="28"/>
      <c r="I194" s="28"/>
      <c r="J194" s="28"/>
      <c r="K194" s="28"/>
      <c r="L194" s="28"/>
      <c r="M194" s="28"/>
      <c r="N194" s="28"/>
      <c r="O194" s="28"/>
    </row>
    <row r="195" ht="15.75" customHeight="1">
      <c r="A195" s="28"/>
      <c r="B195" s="28"/>
      <c r="C195" s="28"/>
      <c r="D195" s="28"/>
      <c r="E195" s="28"/>
      <c r="F195" s="28"/>
      <c r="G195" s="28"/>
      <c r="H195" s="28"/>
      <c r="I195" s="28"/>
      <c r="J195" s="28"/>
      <c r="K195" s="28"/>
      <c r="L195" s="28"/>
      <c r="M195" s="28"/>
      <c r="N195" s="28"/>
      <c r="O195" s="28"/>
    </row>
    <row r="196" ht="15.75" customHeight="1">
      <c r="A196" s="28"/>
      <c r="B196" s="28"/>
      <c r="C196" s="28"/>
      <c r="D196" s="28"/>
      <c r="E196" s="28"/>
      <c r="F196" s="28"/>
      <c r="G196" s="28"/>
      <c r="H196" s="28"/>
      <c r="I196" s="28"/>
      <c r="J196" s="28"/>
      <c r="K196" s="28"/>
      <c r="L196" s="28"/>
      <c r="M196" s="28"/>
      <c r="N196" s="28"/>
      <c r="O196" s="28"/>
    </row>
    <row r="197" ht="15.75" customHeight="1">
      <c r="A197" s="28"/>
      <c r="B197" s="28"/>
      <c r="C197" s="28"/>
      <c r="D197" s="28"/>
      <c r="E197" s="28"/>
      <c r="F197" s="28"/>
      <c r="G197" s="28"/>
      <c r="H197" s="28"/>
      <c r="I197" s="28"/>
      <c r="J197" s="28"/>
      <c r="K197" s="28"/>
      <c r="L197" s="28"/>
      <c r="M197" s="28"/>
      <c r="N197" s="28"/>
      <c r="O197" s="28"/>
    </row>
    <row r="198" ht="15.75" customHeight="1">
      <c r="A198" s="28"/>
      <c r="B198" s="28"/>
      <c r="C198" s="28"/>
      <c r="D198" s="28"/>
      <c r="E198" s="28"/>
      <c r="F198" s="28"/>
      <c r="G198" s="28"/>
      <c r="H198" s="28"/>
      <c r="I198" s="28"/>
      <c r="J198" s="28"/>
      <c r="K198" s="28"/>
      <c r="L198" s="28"/>
      <c r="M198" s="28"/>
      <c r="N198" s="28"/>
      <c r="O198" s="28"/>
    </row>
    <row r="199" ht="15.75" customHeight="1">
      <c r="A199" s="28"/>
      <c r="B199" s="28"/>
      <c r="C199" s="28"/>
      <c r="D199" s="28"/>
      <c r="E199" s="28"/>
      <c r="F199" s="28"/>
      <c r="G199" s="28"/>
      <c r="H199" s="28"/>
      <c r="I199" s="28"/>
      <c r="J199" s="28"/>
      <c r="K199" s="28"/>
      <c r="L199" s="28"/>
      <c r="M199" s="28"/>
      <c r="N199" s="28"/>
      <c r="O199" s="28"/>
    </row>
    <row r="200" ht="15.75" customHeight="1">
      <c r="A200" s="28"/>
      <c r="B200" s="28"/>
      <c r="C200" s="28"/>
      <c r="D200" s="28"/>
      <c r="E200" s="28"/>
      <c r="F200" s="28"/>
      <c r="G200" s="28"/>
      <c r="H200" s="28"/>
      <c r="I200" s="28"/>
      <c r="J200" s="28"/>
      <c r="K200" s="28"/>
      <c r="L200" s="28"/>
      <c r="M200" s="28"/>
      <c r="N200" s="28"/>
      <c r="O200" s="28"/>
    </row>
    <row r="201" ht="15.75" customHeight="1">
      <c r="A201" s="28"/>
      <c r="B201" s="28"/>
      <c r="C201" s="28"/>
      <c r="D201" s="28"/>
      <c r="E201" s="28"/>
      <c r="F201" s="28"/>
      <c r="G201" s="28"/>
      <c r="H201" s="28"/>
      <c r="I201" s="28"/>
      <c r="J201" s="28"/>
      <c r="K201" s="28"/>
      <c r="L201" s="28"/>
      <c r="M201" s="28"/>
      <c r="N201" s="28"/>
      <c r="O201" s="28"/>
    </row>
    <row r="202" ht="15.75" customHeight="1">
      <c r="A202" s="28"/>
      <c r="B202" s="28"/>
      <c r="C202" s="28"/>
      <c r="D202" s="28"/>
      <c r="E202" s="28"/>
      <c r="F202" s="28"/>
      <c r="G202" s="28"/>
      <c r="H202" s="28"/>
      <c r="I202" s="28"/>
      <c r="J202" s="28"/>
      <c r="K202" s="28"/>
      <c r="L202" s="28"/>
      <c r="M202" s="28"/>
      <c r="N202" s="28"/>
      <c r="O202" s="28"/>
    </row>
    <row r="203" ht="15.75" customHeight="1">
      <c r="A203" s="28"/>
      <c r="B203" s="28"/>
      <c r="C203" s="28"/>
      <c r="D203" s="28"/>
      <c r="E203" s="28"/>
      <c r="F203" s="28"/>
      <c r="G203" s="28"/>
      <c r="H203" s="28"/>
      <c r="I203" s="28"/>
      <c r="J203" s="28"/>
      <c r="K203" s="28"/>
      <c r="L203" s="28"/>
      <c r="M203" s="28"/>
      <c r="N203" s="28"/>
      <c r="O203" s="28"/>
    </row>
    <row r="204" ht="15.75" customHeight="1">
      <c r="A204" s="28"/>
      <c r="B204" s="28"/>
      <c r="C204" s="28"/>
      <c r="D204" s="28"/>
      <c r="E204" s="28"/>
      <c r="F204" s="28"/>
      <c r="G204" s="28"/>
      <c r="H204" s="28"/>
      <c r="I204" s="28"/>
      <c r="J204" s="28"/>
      <c r="K204" s="28"/>
      <c r="L204" s="28"/>
      <c r="M204" s="28"/>
      <c r="N204" s="28"/>
      <c r="O204" s="28"/>
    </row>
    <row r="205" ht="15.75" customHeight="1">
      <c r="A205" s="28"/>
      <c r="B205" s="28"/>
      <c r="C205" s="28"/>
      <c r="D205" s="28"/>
      <c r="E205" s="28"/>
      <c r="F205" s="28"/>
      <c r="G205" s="28"/>
      <c r="H205" s="28"/>
      <c r="I205" s="28"/>
      <c r="J205" s="28"/>
      <c r="K205" s="28"/>
      <c r="L205" s="28"/>
      <c r="M205" s="28"/>
      <c r="N205" s="28"/>
      <c r="O205" s="28"/>
    </row>
    <row r="206" ht="15.75" customHeight="1">
      <c r="A206" s="28"/>
      <c r="B206" s="28"/>
      <c r="C206" s="28"/>
      <c r="D206" s="28"/>
      <c r="E206" s="28"/>
      <c r="F206" s="28"/>
      <c r="G206" s="28"/>
      <c r="H206" s="28"/>
      <c r="I206" s="28"/>
      <c r="J206" s="28"/>
      <c r="K206" s="28"/>
      <c r="L206" s="28"/>
      <c r="M206" s="28"/>
      <c r="N206" s="28"/>
      <c r="O206" s="28"/>
    </row>
    <row r="207" ht="15.75" customHeight="1">
      <c r="A207" s="28"/>
      <c r="B207" s="28"/>
      <c r="C207" s="28"/>
      <c r="D207" s="28"/>
      <c r="E207" s="28"/>
      <c r="F207" s="28"/>
      <c r="G207" s="28"/>
      <c r="H207" s="28"/>
      <c r="I207" s="28"/>
      <c r="J207" s="28"/>
      <c r="K207" s="28"/>
      <c r="L207" s="28"/>
      <c r="M207" s="28"/>
      <c r="N207" s="28"/>
      <c r="O207" s="28"/>
    </row>
    <row r="208" ht="15.75" customHeight="1">
      <c r="A208" s="28"/>
      <c r="B208" s="28"/>
      <c r="C208" s="28"/>
      <c r="D208" s="28"/>
      <c r="E208" s="28"/>
      <c r="F208" s="28"/>
      <c r="G208" s="28"/>
      <c r="H208" s="28"/>
      <c r="I208" s="28"/>
      <c r="J208" s="28"/>
      <c r="K208" s="28"/>
      <c r="L208" s="28"/>
      <c r="M208" s="28"/>
      <c r="N208" s="28"/>
      <c r="O208" s="28"/>
    </row>
    <row r="209" ht="15.75" customHeight="1">
      <c r="A209" s="28"/>
      <c r="B209" s="28"/>
      <c r="C209" s="28"/>
      <c r="D209" s="28"/>
      <c r="E209" s="28"/>
      <c r="F209" s="28"/>
      <c r="G209" s="28"/>
      <c r="H209" s="28"/>
      <c r="I209" s="28"/>
      <c r="J209" s="28"/>
      <c r="K209" s="28"/>
      <c r="L209" s="28"/>
      <c r="M209" s="28"/>
      <c r="N209" s="28"/>
      <c r="O209" s="28"/>
    </row>
    <row r="210" ht="15.75" customHeight="1">
      <c r="A210" s="28"/>
      <c r="B210" s="28"/>
      <c r="C210" s="28"/>
      <c r="D210" s="28"/>
      <c r="E210" s="28"/>
      <c r="F210" s="28"/>
      <c r="G210" s="28"/>
      <c r="H210" s="28"/>
      <c r="I210" s="28"/>
      <c r="J210" s="28"/>
      <c r="K210" s="28"/>
      <c r="L210" s="28"/>
      <c r="M210" s="28"/>
      <c r="N210" s="28"/>
      <c r="O210" s="28"/>
    </row>
    <row r="211" ht="15.75" customHeight="1">
      <c r="A211" s="28"/>
      <c r="B211" s="28"/>
      <c r="C211" s="28"/>
      <c r="D211" s="28"/>
      <c r="E211" s="28"/>
      <c r="F211" s="28"/>
      <c r="G211" s="28"/>
      <c r="H211" s="28"/>
      <c r="I211" s="28"/>
      <c r="J211" s="28"/>
      <c r="K211" s="28"/>
      <c r="L211" s="28"/>
      <c r="M211" s="28"/>
      <c r="N211" s="28"/>
      <c r="O211" s="28"/>
    </row>
    <row r="212" ht="15.75" customHeight="1">
      <c r="A212" s="28"/>
      <c r="B212" s="28"/>
      <c r="C212" s="28"/>
      <c r="D212" s="28"/>
      <c r="E212" s="28"/>
      <c r="F212" s="28"/>
      <c r="G212" s="28"/>
      <c r="H212" s="28"/>
      <c r="I212" s="28"/>
      <c r="J212" s="28"/>
      <c r="K212" s="28"/>
      <c r="L212" s="28"/>
      <c r="M212" s="28"/>
      <c r="N212" s="28"/>
      <c r="O212" s="28"/>
    </row>
    <row r="213" ht="15.75" customHeight="1">
      <c r="A213" s="28"/>
      <c r="B213" s="28"/>
      <c r="C213" s="28"/>
      <c r="D213" s="28"/>
      <c r="E213" s="28"/>
      <c r="F213" s="28"/>
      <c r="G213" s="28"/>
      <c r="H213" s="28"/>
      <c r="I213" s="28"/>
      <c r="J213" s="28"/>
      <c r="K213" s="28"/>
      <c r="L213" s="28"/>
      <c r="M213" s="28"/>
      <c r="N213" s="28"/>
      <c r="O213" s="28"/>
    </row>
    <row r="214" ht="15.75" customHeight="1">
      <c r="A214" s="28"/>
      <c r="B214" s="28"/>
      <c r="C214" s="28"/>
      <c r="D214" s="28"/>
      <c r="E214" s="28"/>
      <c r="F214" s="28"/>
      <c r="G214" s="28"/>
      <c r="H214" s="28"/>
      <c r="I214" s="28"/>
      <c r="J214" s="28"/>
      <c r="K214" s="28"/>
      <c r="L214" s="28"/>
      <c r="M214" s="28"/>
      <c r="N214" s="28"/>
      <c r="O214" s="28"/>
    </row>
    <row r="215" ht="15.75" customHeight="1">
      <c r="A215" s="28"/>
      <c r="B215" s="28"/>
      <c r="C215" s="28"/>
      <c r="D215" s="28"/>
      <c r="E215" s="28"/>
      <c r="F215" s="28"/>
      <c r="G215" s="28"/>
      <c r="H215" s="28"/>
      <c r="I215" s="28"/>
      <c r="J215" s="28"/>
      <c r="K215" s="28"/>
      <c r="L215" s="28"/>
      <c r="M215" s="28"/>
      <c r="N215" s="28"/>
      <c r="O215" s="28"/>
    </row>
    <row r="216" ht="15.75" customHeight="1">
      <c r="A216" s="28"/>
      <c r="B216" s="28"/>
      <c r="C216" s="28"/>
      <c r="D216" s="28"/>
      <c r="E216" s="28"/>
      <c r="F216" s="28"/>
      <c r="G216" s="28"/>
      <c r="H216" s="28"/>
      <c r="I216" s="28"/>
      <c r="J216" s="28"/>
      <c r="K216" s="28"/>
      <c r="L216" s="28"/>
      <c r="M216" s="28"/>
      <c r="N216" s="28"/>
      <c r="O216" s="28"/>
    </row>
    <row r="217" ht="15.75" customHeight="1">
      <c r="A217" s="28"/>
      <c r="B217" s="28"/>
      <c r="C217" s="28"/>
      <c r="D217" s="28"/>
      <c r="E217" s="28"/>
      <c r="F217" s="28"/>
      <c r="G217" s="28"/>
      <c r="H217" s="28"/>
      <c r="I217" s="28"/>
      <c r="J217" s="28"/>
      <c r="K217" s="28"/>
      <c r="L217" s="28"/>
      <c r="M217" s="28"/>
      <c r="N217" s="28"/>
      <c r="O217" s="28"/>
    </row>
    <row r="218" ht="15.75" customHeight="1">
      <c r="A218" s="28"/>
      <c r="B218" s="28"/>
      <c r="C218" s="28"/>
      <c r="D218" s="28"/>
      <c r="E218" s="28"/>
      <c r="F218" s="28"/>
      <c r="G218" s="28"/>
      <c r="H218" s="28"/>
      <c r="I218" s="28"/>
      <c r="J218" s="28"/>
      <c r="K218" s="28"/>
      <c r="L218" s="28"/>
      <c r="M218" s="28"/>
      <c r="N218" s="28"/>
      <c r="O218" s="28"/>
    </row>
    <row r="219" ht="15.75" customHeight="1">
      <c r="A219" s="28"/>
      <c r="B219" s="28"/>
      <c r="C219" s="28"/>
      <c r="D219" s="28"/>
      <c r="E219" s="28"/>
      <c r="F219" s="28"/>
      <c r="G219" s="28"/>
      <c r="H219" s="28"/>
      <c r="I219" s="28"/>
      <c r="J219" s="28"/>
      <c r="K219" s="28"/>
      <c r="L219" s="28"/>
      <c r="M219" s="28"/>
      <c r="N219" s="28"/>
      <c r="O219" s="28"/>
    </row>
    <row r="220" ht="15.75" customHeight="1">
      <c r="A220" s="28"/>
      <c r="B220" s="28"/>
      <c r="C220" s="28"/>
      <c r="D220" s="28"/>
      <c r="E220" s="28"/>
      <c r="F220" s="28"/>
      <c r="G220" s="28"/>
      <c r="H220" s="28"/>
      <c r="I220" s="28"/>
      <c r="J220" s="28"/>
      <c r="K220" s="28"/>
      <c r="L220" s="28"/>
      <c r="M220" s="28"/>
      <c r="N220" s="28"/>
      <c r="O220" s="28"/>
    </row>
    <row r="221" ht="15.75" customHeight="1">
      <c r="A221" s="28"/>
      <c r="B221" s="28"/>
      <c r="C221" s="28"/>
      <c r="D221" s="28"/>
      <c r="E221" s="28"/>
      <c r="F221" s="28"/>
      <c r="G221" s="28"/>
      <c r="H221" s="28"/>
      <c r="I221" s="28"/>
      <c r="J221" s="28"/>
      <c r="K221" s="28"/>
      <c r="L221" s="28"/>
      <c r="M221" s="28"/>
      <c r="N221" s="28"/>
      <c r="O221" s="28"/>
    </row>
    <row r="222" ht="15.75" customHeight="1">
      <c r="A222" s="28"/>
      <c r="B222" s="28"/>
      <c r="C222" s="28"/>
      <c r="D222" s="28"/>
      <c r="E222" s="28"/>
      <c r="F222" s="28"/>
      <c r="G222" s="28"/>
      <c r="H222" s="28"/>
      <c r="I222" s="28"/>
      <c r="J222" s="28"/>
      <c r="K222" s="28"/>
      <c r="L222" s="28"/>
      <c r="M222" s="28"/>
      <c r="N222" s="28"/>
      <c r="O222" s="28"/>
    </row>
    <row r="223" ht="15.75" customHeight="1">
      <c r="A223" s="28"/>
      <c r="B223" s="28"/>
      <c r="C223" s="28"/>
      <c r="D223" s="28"/>
      <c r="E223" s="28"/>
      <c r="F223" s="28"/>
      <c r="G223" s="28"/>
      <c r="H223" s="28"/>
      <c r="I223" s="28"/>
      <c r="J223" s="28"/>
      <c r="K223" s="28"/>
      <c r="L223" s="28"/>
      <c r="M223" s="28"/>
      <c r="N223" s="28"/>
      <c r="O223" s="28"/>
    </row>
    <row r="224" ht="15.75" customHeight="1">
      <c r="A224" s="28"/>
      <c r="B224" s="28"/>
      <c r="C224" s="28"/>
      <c r="D224" s="28"/>
      <c r="E224" s="28"/>
      <c r="F224" s="28"/>
      <c r="G224" s="28"/>
      <c r="H224" s="28"/>
      <c r="I224" s="28"/>
      <c r="J224" s="28"/>
      <c r="K224" s="28"/>
      <c r="L224" s="28"/>
      <c r="M224" s="28"/>
      <c r="N224" s="28"/>
      <c r="O224" s="28"/>
    </row>
    <row r="225" ht="15.75" customHeight="1">
      <c r="A225" s="28"/>
      <c r="B225" s="28"/>
      <c r="C225" s="28"/>
      <c r="D225" s="28"/>
      <c r="E225" s="28"/>
      <c r="F225" s="28"/>
      <c r="G225" s="28"/>
      <c r="H225" s="28"/>
      <c r="I225" s="28"/>
      <c r="J225" s="28"/>
      <c r="K225" s="28"/>
      <c r="L225" s="28"/>
      <c r="M225" s="28"/>
      <c r="N225" s="28"/>
      <c r="O225" s="28"/>
    </row>
    <row r="226" ht="15.75" customHeight="1">
      <c r="A226" s="28"/>
      <c r="B226" s="28"/>
      <c r="C226" s="28"/>
      <c r="D226" s="28"/>
      <c r="E226" s="28"/>
      <c r="F226" s="28"/>
      <c r="G226" s="28"/>
      <c r="H226" s="28"/>
      <c r="I226" s="28"/>
      <c r="J226" s="28"/>
      <c r="K226" s="28"/>
      <c r="L226" s="28"/>
      <c r="M226" s="28"/>
      <c r="N226" s="28"/>
      <c r="O226" s="28"/>
    </row>
    <row r="227" ht="15.75" customHeight="1">
      <c r="A227" s="28"/>
      <c r="B227" s="28"/>
      <c r="C227" s="28"/>
      <c r="D227" s="28"/>
      <c r="E227" s="28"/>
      <c r="F227" s="28"/>
      <c r="G227" s="28"/>
      <c r="H227" s="28"/>
      <c r="I227" s="28"/>
      <c r="J227" s="28"/>
      <c r="K227" s="28"/>
      <c r="L227" s="28"/>
      <c r="M227" s="28"/>
      <c r="N227" s="28"/>
      <c r="O227" s="28"/>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B2:N2"/>
    <mergeCell ref="P2:AB2"/>
    <mergeCell ref="B3:N3"/>
    <mergeCell ref="P3:AB3"/>
    <mergeCell ref="B20:C20"/>
    <mergeCell ref="P20:Q20"/>
    <mergeCell ref="B22:N22"/>
    <mergeCell ref="D25:G25"/>
    <mergeCell ref="H25:N25"/>
    <mergeCell ref="B26:C26"/>
    <mergeCell ref="D26:G26"/>
    <mergeCell ref="H26:N26"/>
    <mergeCell ref="B27:C27"/>
    <mergeCell ref="D27:G27"/>
    <mergeCell ref="H27:N27"/>
    <mergeCell ref="B23:C23"/>
    <mergeCell ref="D23:G23"/>
    <mergeCell ref="H23:N23"/>
    <mergeCell ref="B24:C24"/>
    <mergeCell ref="D24:G24"/>
    <mergeCell ref="H24:N24"/>
    <mergeCell ref="B25:C25"/>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0"/>
    <col customWidth="1" min="2" max="2" width="26.57"/>
    <col customWidth="1" min="3" max="3" width="27.86"/>
    <col customWidth="1" min="4" max="4" width="26.43"/>
    <col customWidth="1" min="5" max="5" width="21.86"/>
    <col customWidth="1" min="6" max="6" width="16.0"/>
    <col customWidth="1" min="7" max="7" width="30.29"/>
    <col customWidth="1" min="8" max="8" width="11.86"/>
    <col customWidth="1" min="9" max="9" width="26.71"/>
    <col customWidth="1" min="10" max="10" width="29.0"/>
    <col customWidth="1" min="11" max="11" width="26.57"/>
    <col customWidth="1" min="12" max="12" width="17.43"/>
    <col customWidth="1" min="13" max="13" width="18.14"/>
    <col customWidth="1" min="14" max="14" width="27.14"/>
  </cols>
  <sheetData>
    <row r="1">
      <c r="A1" s="28"/>
      <c r="B1" s="28"/>
      <c r="C1" s="28"/>
      <c r="D1" s="28"/>
      <c r="E1" s="28"/>
      <c r="F1" s="28"/>
      <c r="G1" s="28"/>
    </row>
    <row r="2">
      <c r="A2" s="28"/>
      <c r="B2" s="132" t="s">
        <v>145</v>
      </c>
      <c r="C2" s="30"/>
      <c r="D2" s="30"/>
      <c r="E2" s="30"/>
      <c r="F2" s="30"/>
      <c r="G2" s="30"/>
      <c r="H2" s="30"/>
      <c r="I2" s="30"/>
      <c r="J2" s="30"/>
      <c r="K2" s="30"/>
      <c r="L2" s="30"/>
      <c r="M2" s="30"/>
      <c r="N2" s="3"/>
    </row>
    <row r="3">
      <c r="A3" s="28"/>
      <c r="B3" s="133"/>
      <c r="C3" s="30"/>
      <c r="D3" s="30"/>
      <c r="E3" s="30"/>
      <c r="F3" s="30"/>
      <c r="G3" s="30"/>
      <c r="H3" s="30"/>
      <c r="I3" s="30"/>
      <c r="J3" s="30"/>
      <c r="K3" s="30"/>
      <c r="L3" s="30"/>
      <c r="M3" s="30"/>
      <c r="N3" s="3"/>
    </row>
    <row r="4">
      <c r="A4" s="28"/>
      <c r="B4" s="28"/>
      <c r="C4" s="28"/>
      <c r="D4" s="28"/>
      <c r="E4" s="28"/>
      <c r="F4" s="28"/>
      <c r="G4" s="28"/>
    </row>
    <row r="5">
      <c r="A5" s="28"/>
      <c r="B5" s="134" t="s">
        <v>146</v>
      </c>
      <c r="C5" s="27"/>
      <c r="D5" s="134" t="s">
        <v>147</v>
      </c>
      <c r="E5" s="27"/>
      <c r="F5" s="28"/>
      <c r="G5" s="28"/>
    </row>
    <row r="6">
      <c r="A6" s="28"/>
      <c r="B6" s="135" t="s">
        <v>148</v>
      </c>
      <c r="C6" s="136">
        <v>28.0</v>
      </c>
      <c r="D6" s="137" t="s">
        <v>149</v>
      </c>
      <c r="E6" s="138">
        <v>1703.0</v>
      </c>
      <c r="F6" s="28"/>
      <c r="G6" s="28"/>
    </row>
    <row r="7">
      <c r="A7" s="28"/>
      <c r="B7" s="139" t="s">
        <v>150</v>
      </c>
      <c r="C7" s="136" t="s">
        <v>151</v>
      </c>
      <c r="D7" s="140" t="s">
        <v>152</v>
      </c>
      <c r="E7" s="138" t="s">
        <v>153</v>
      </c>
      <c r="F7" s="28"/>
      <c r="G7" s="28"/>
    </row>
    <row r="8">
      <c r="A8" s="28"/>
      <c r="B8" s="135" t="s">
        <v>154</v>
      </c>
      <c r="C8" s="136">
        <v>68.0</v>
      </c>
      <c r="D8" s="137" t="s">
        <v>155</v>
      </c>
      <c r="E8" s="138" t="s">
        <v>156</v>
      </c>
      <c r="F8" s="28"/>
      <c r="G8" s="28"/>
    </row>
    <row r="9">
      <c r="A9" s="28"/>
      <c r="B9" s="139" t="s">
        <v>157</v>
      </c>
      <c r="C9" s="136">
        <v>178.0</v>
      </c>
      <c r="D9" s="140" t="s">
        <v>158</v>
      </c>
      <c r="E9" s="138" t="s">
        <v>159</v>
      </c>
      <c r="F9" s="28"/>
      <c r="G9" s="28"/>
    </row>
    <row r="10">
      <c r="A10" s="28"/>
      <c r="B10" s="135" t="s">
        <v>160</v>
      </c>
      <c r="C10" s="136" t="s">
        <v>161</v>
      </c>
      <c r="D10" s="137" t="s">
        <v>162</v>
      </c>
      <c r="E10" s="138" t="s">
        <v>163</v>
      </c>
      <c r="F10" s="28"/>
      <c r="G10" s="28"/>
    </row>
    <row r="11">
      <c r="A11" s="28"/>
      <c r="B11" s="139" t="s">
        <v>93</v>
      </c>
      <c r="C11" s="136" t="s">
        <v>164</v>
      </c>
      <c r="D11" s="140" t="s">
        <v>165</v>
      </c>
      <c r="E11" s="138" t="s">
        <v>166</v>
      </c>
      <c r="F11" s="28"/>
      <c r="G11" s="28"/>
    </row>
    <row r="12">
      <c r="A12" s="28"/>
      <c r="B12" s="141"/>
      <c r="C12" s="141"/>
      <c r="D12" s="137" t="s">
        <v>167</v>
      </c>
      <c r="E12" s="138" t="s">
        <v>168</v>
      </c>
      <c r="F12" s="28"/>
      <c r="G12" s="28"/>
    </row>
    <row r="13">
      <c r="A13" s="28"/>
      <c r="B13" s="28"/>
      <c r="C13" s="28"/>
      <c r="D13" s="28"/>
      <c r="E13" s="28"/>
      <c r="F13" s="28"/>
      <c r="G13" s="28"/>
    </row>
    <row r="14" ht="24.75" customHeight="1">
      <c r="A14" s="142"/>
      <c r="B14" s="143" t="s">
        <v>169</v>
      </c>
      <c r="C14" s="144"/>
      <c r="D14" s="144"/>
      <c r="E14" s="144"/>
      <c r="F14" s="144"/>
      <c r="G14" s="144"/>
      <c r="H14" s="144"/>
      <c r="I14" s="144"/>
      <c r="J14" s="144"/>
      <c r="K14" s="144"/>
      <c r="L14" s="144"/>
      <c r="M14" s="144"/>
      <c r="N14" s="145"/>
      <c r="O14" s="146"/>
      <c r="P14" s="146"/>
      <c r="Q14" s="146"/>
      <c r="R14" s="146"/>
      <c r="S14" s="146"/>
      <c r="T14" s="146"/>
      <c r="U14" s="146"/>
      <c r="V14" s="146"/>
      <c r="W14" s="146"/>
      <c r="X14" s="146"/>
      <c r="Y14" s="146"/>
      <c r="Z14" s="146"/>
    </row>
    <row r="15" ht="21.75" customHeight="1">
      <c r="A15" s="147"/>
      <c r="B15" s="148" t="s">
        <v>170</v>
      </c>
      <c r="C15" s="149"/>
      <c r="D15" s="149"/>
      <c r="E15" s="149"/>
      <c r="F15" s="149"/>
      <c r="G15" s="150"/>
      <c r="H15" s="151"/>
      <c r="I15" s="152" t="s">
        <v>171</v>
      </c>
      <c r="J15" s="149"/>
      <c r="K15" s="149"/>
      <c r="L15" s="149"/>
      <c r="M15" s="149"/>
      <c r="N15" s="150"/>
      <c r="O15" s="153"/>
      <c r="P15" s="153"/>
      <c r="Q15" s="153"/>
      <c r="R15" s="153"/>
      <c r="S15" s="153"/>
      <c r="T15" s="153"/>
      <c r="U15" s="153"/>
      <c r="V15" s="153"/>
      <c r="W15" s="153"/>
      <c r="X15" s="153"/>
      <c r="Y15" s="153"/>
      <c r="Z15" s="153"/>
    </row>
    <row r="16">
      <c r="A16" s="28"/>
      <c r="B16" s="154" t="s">
        <v>172</v>
      </c>
      <c r="C16" s="154" t="s">
        <v>173</v>
      </c>
      <c r="D16" s="154" t="s">
        <v>174</v>
      </c>
      <c r="E16" s="154" t="s">
        <v>175</v>
      </c>
      <c r="F16" s="155"/>
      <c r="G16" s="150"/>
      <c r="H16" s="156"/>
      <c r="I16" s="157" t="s">
        <v>172</v>
      </c>
      <c r="J16" s="157" t="s">
        <v>173</v>
      </c>
      <c r="K16" s="157" t="s">
        <v>174</v>
      </c>
      <c r="L16" s="157" t="s">
        <v>175</v>
      </c>
      <c r="M16" s="158"/>
      <c r="N16" s="150"/>
    </row>
    <row r="17">
      <c r="A17" s="28"/>
      <c r="B17" s="159" t="s">
        <v>176</v>
      </c>
      <c r="C17" s="160" t="s">
        <v>177</v>
      </c>
      <c r="D17" s="160" t="s">
        <v>178</v>
      </c>
      <c r="E17" s="161">
        <v>322.5</v>
      </c>
      <c r="F17" s="162"/>
      <c r="G17" s="163"/>
      <c r="H17" s="164"/>
      <c r="I17" s="159" t="s">
        <v>176</v>
      </c>
      <c r="J17" s="165" t="s">
        <v>179</v>
      </c>
      <c r="K17" s="160" t="s">
        <v>180</v>
      </c>
      <c r="L17" s="161" t="s">
        <v>181</v>
      </c>
      <c r="M17" s="162" t="s">
        <v>182</v>
      </c>
      <c r="N17" s="163"/>
    </row>
    <row r="18">
      <c r="A18" s="28"/>
      <c r="B18" s="166" t="s">
        <v>183</v>
      </c>
      <c r="C18" s="167" t="s">
        <v>184</v>
      </c>
      <c r="D18" s="167" t="s">
        <v>185</v>
      </c>
      <c r="E18" s="168">
        <v>348.7</v>
      </c>
      <c r="F18" s="169" t="s">
        <v>186</v>
      </c>
      <c r="G18" s="170"/>
      <c r="H18" s="164"/>
      <c r="I18" s="166" t="s">
        <v>183</v>
      </c>
      <c r="J18" s="171" t="s">
        <v>187</v>
      </c>
      <c r="K18" s="167" t="s">
        <v>188</v>
      </c>
      <c r="L18" s="168" t="s">
        <v>189</v>
      </c>
      <c r="M18" s="172"/>
      <c r="N18" s="170"/>
    </row>
    <row r="19">
      <c r="A19" s="28"/>
      <c r="B19" s="173" t="s">
        <v>190</v>
      </c>
      <c r="C19" s="167" t="s">
        <v>191</v>
      </c>
      <c r="D19" s="167" t="s">
        <v>192</v>
      </c>
      <c r="E19" s="168">
        <v>94.7</v>
      </c>
      <c r="F19" s="172"/>
      <c r="G19" s="170"/>
      <c r="H19" s="164"/>
      <c r="I19" s="173" t="s">
        <v>190</v>
      </c>
      <c r="J19" s="171" t="s">
        <v>193</v>
      </c>
      <c r="K19" s="167" t="s">
        <v>194</v>
      </c>
      <c r="L19" s="168" t="s">
        <v>195</v>
      </c>
      <c r="M19" s="172"/>
      <c r="N19" s="170"/>
    </row>
    <row r="20">
      <c r="A20" s="28"/>
      <c r="B20" s="174"/>
      <c r="C20" s="175"/>
      <c r="D20" s="175"/>
      <c r="E20" s="175"/>
      <c r="F20" s="176"/>
      <c r="G20" s="176"/>
      <c r="H20" s="164"/>
      <c r="I20" s="174"/>
      <c r="J20" s="176"/>
      <c r="K20" s="175"/>
      <c r="L20" s="175"/>
      <c r="M20" s="176"/>
      <c r="N20" s="176"/>
    </row>
    <row r="21">
      <c r="A21" s="28"/>
      <c r="B21" s="177" t="s">
        <v>196</v>
      </c>
      <c r="C21" s="167" t="s">
        <v>197</v>
      </c>
      <c r="D21" s="167" t="s">
        <v>198</v>
      </c>
      <c r="E21" s="168">
        <v>515.6</v>
      </c>
      <c r="F21" s="169" t="s">
        <v>199</v>
      </c>
      <c r="G21" s="170"/>
      <c r="H21" s="164"/>
      <c r="I21" s="177" t="s">
        <v>196</v>
      </c>
      <c r="J21" s="171" t="s">
        <v>200</v>
      </c>
      <c r="K21" s="167" t="s">
        <v>201</v>
      </c>
      <c r="L21" s="168" t="s">
        <v>202</v>
      </c>
      <c r="M21" s="172"/>
      <c r="N21" s="170"/>
    </row>
    <row r="22">
      <c r="A22" s="28"/>
      <c r="B22" s="178" t="s">
        <v>203</v>
      </c>
      <c r="C22" s="167" t="s">
        <v>204</v>
      </c>
      <c r="D22" s="167" t="s">
        <v>205</v>
      </c>
      <c r="E22" s="168">
        <v>481.8</v>
      </c>
      <c r="F22" s="169" t="s">
        <v>206</v>
      </c>
      <c r="G22" s="170"/>
      <c r="H22" s="164"/>
      <c r="I22" s="178" t="s">
        <v>203</v>
      </c>
      <c r="J22" s="171" t="s">
        <v>207</v>
      </c>
      <c r="K22" s="167" t="s">
        <v>208</v>
      </c>
      <c r="L22" s="168" t="s">
        <v>209</v>
      </c>
      <c r="M22" s="169" t="s">
        <v>210</v>
      </c>
      <c r="N22" s="170"/>
    </row>
    <row r="23">
      <c r="A23" s="28"/>
      <c r="B23" s="177" t="s">
        <v>211</v>
      </c>
      <c r="C23" s="167" t="s">
        <v>212</v>
      </c>
      <c r="D23" s="167" t="s">
        <v>213</v>
      </c>
      <c r="E23" s="168">
        <v>107.0</v>
      </c>
      <c r="F23" s="172"/>
      <c r="G23" s="170"/>
      <c r="H23" s="164"/>
      <c r="I23" s="177" t="s">
        <v>211</v>
      </c>
      <c r="J23" s="171" t="s">
        <v>193</v>
      </c>
      <c r="K23" s="167" t="s">
        <v>214</v>
      </c>
      <c r="L23" s="168" t="s">
        <v>215</v>
      </c>
      <c r="M23" s="172"/>
      <c r="N23" s="170"/>
    </row>
    <row r="24">
      <c r="A24" s="28"/>
      <c r="B24" s="174"/>
      <c r="C24" s="175"/>
      <c r="D24" s="175"/>
      <c r="E24" s="175"/>
      <c r="F24" s="176"/>
      <c r="G24" s="176"/>
      <c r="H24" s="164"/>
      <c r="I24" s="174"/>
      <c r="J24" s="176"/>
      <c r="K24" s="175"/>
      <c r="L24" s="175"/>
      <c r="M24" s="176"/>
      <c r="N24" s="176"/>
    </row>
    <row r="25">
      <c r="A25" s="28"/>
      <c r="B25" s="179" t="s">
        <v>216</v>
      </c>
      <c r="C25" s="167" t="s">
        <v>217</v>
      </c>
      <c r="D25" s="167" t="s">
        <v>218</v>
      </c>
      <c r="E25" s="168">
        <v>511.9</v>
      </c>
      <c r="F25" s="169" t="s">
        <v>219</v>
      </c>
      <c r="G25" s="170"/>
      <c r="H25" s="164"/>
      <c r="I25" s="179" t="s">
        <v>216</v>
      </c>
      <c r="J25" s="171" t="s">
        <v>197</v>
      </c>
      <c r="K25" s="167" t="s">
        <v>220</v>
      </c>
      <c r="L25" s="168" t="s">
        <v>221</v>
      </c>
      <c r="M25" s="169" t="s">
        <v>222</v>
      </c>
      <c r="N25" s="170"/>
    </row>
    <row r="26">
      <c r="A26" s="28"/>
      <c r="B26" s="180" t="s">
        <v>223</v>
      </c>
      <c r="C26" s="167" t="s">
        <v>224</v>
      </c>
      <c r="D26" s="167" t="s">
        <v>225</v>
      </c>
      <c r="E26" s="168">
        <v>259.4</v>
      </c>
      <c r="F26" s="172"/>
      <c r="G26" s="170"/>
      <c r="H26" s="164"/>
      <c r="I26" s="180" t="s">
        <v>223</v>
      </c>
      <c r="J26" s="171" t="s">
        <v>226</v>
      </c>
      <c r="K26" s="167" t="s">
        <v>227</v>
      </c>
      <c r="L26" s="168" t="s">
        <v>228</v>
      </c>
      <c r="M26" s="172"/>
      <c r="N26" s="170"/>
    </row>
    <row r="27">
      <c r="A27" s="28"/>
      <c r="B27" s="179" t="s">
        <v>229</v>
      </c>
      <c r="C27" s="167" t="s">
        <v>230</v>
      </c>
      <c r="D27" s="167" t="s">
        <v>213</v>
      </c>
      <c r="E27" s="168">
        <v>175.0</v>
      </c>
      <c r="F27" s="172"/>
      <c r="G27" s="170"/>
      <c r="H27" s="164"/>
      <c r="I27" s="179" t="s">
        <v>229</v>
      </c>
      <c r="J27" s="171" t="s">
        <v>193</v>
      </c>
      <c r="K27" s="167" t="s">
        <v>231</v>
      </c>
      <c r="L27" s="168" t="s">
        <v>232</v>
      </c>
      <c r="M27" s="169" t="s">
        <v>233</v>
      </c>
      <c r="N27" s="170"/>
    </row>
    <row r="28">
      <c r="A28" s="28"/>
      <c r="B28" s="174"/>
      <c r="C28" s="175"/>
      <c r="D28" s="175"/>
      <c r="E28" s="175"/>
      <c r="F28" s="176"/>
      <c r="G28" s="176"/>
      <c r="H28" s="164"/>
      <c r="I28" s="174"/>
      <c r="J28" s="176"/>
      <c r="K28" s="175"/>
      <c r="L28" s="175"/>
      <c r="M28" s="176"/>
      <c r="N28" s="176"/>
    </row>
    <row r="29">
      <c r="A29" s="28"/>
      <c r="B29" s="181" t="s">
        <v>234</v>
      </c>
      <c r="C29" s="167" t="s">
        <v>235</v>
      </c>
      <c r="D29" s="167" t="s">
        <v>236</v>
      </c>
      <c r="E29" s="168">
        <v>314.4</v>
      </c>
      <c r="F29" s="169" t="s">
        <v>237</v>
      </c>
      <c r="G29" s="170"/>
      <c r="H29" s="164"/>
      <c r="I29" s="181" t="s">
        <v>234</v>
      </c>
      <c r="J29" s="171" t="s">
        <v>238</v>
      </c>
      <c r="K29" s="167" t="s">
        <v>239</v>
      </c>
      <c r="L29" s="168" t="s">
        <v>240</v>
      </c>
      <c r="M29" s="172"/>
      <c r="N29" s="170"/>
    </row>
    <row r="30">
      <c r="A30" s="28"/>
      <c r="F30" s="28"/>
      <c r="G30" s="28"/>
    </row>
    <row r="31" ht="24.75" customHeight="1">
      <c r="A31" s="142"/>
      <c r="B31" s="182" t="s">
        <v>241</v>
      </c>
      <c r="C31" s="183"/>
      <c r="D31" s="183"/>
      <c r="E31" s="183"/>
      <c r="F31" s="183"/>
      <c r="G31" s="183"/>
      <c r="H31" s="183"/>
      <c r="I31" s="183"/>
      <c r="J31" s="183"/>
      <c r="K31" s="183"/>
      <c r="L31" s="183"/>
      <c r="M31" s="183"/>
      <c r="N31" s="184"/>
      <c r="O31" s="146"/>
      <c r="P31" s="146"/>
      <c r="Q31" s="146"/>
      <c r="R31" s="146"/>
      <c r="S31" s="146"/>
      <c r="T31" s="146"/>
      <c r="U31" s="146"/>
      <c r="V31" s="146"/>
      <c r="W31" s="146"/>
      <c r="X31" s="146"/>
      <c r="Y31" s="146"/>
      <c r="Z31" s="146"/>
    </row>
    <row r="32" ht="21.0" customHeight="1">
      <c r="A32" s="147"/>
      <c r="B32" s="148" t="s">
        <v>170</v>
      </c>
      <c r="C32" s="149"/>
      <c r="D32" s="149"/>
      <c r="E32" s="149"/>
      <c r="F32" s="149"/>
      <c r="G32" s="150"/>
      <c r="H32" s="185"/>
      <c r="I32" s="152" t="s">
        <v>242</v>
      </c>
      <c r="J32" s="149"/>
      <c r="K32" s="149"/>
      <c r="L32" s="149"/>
      <c r="M32" s="149"/>
      <c r="N32" s="150"/>
      <c r="O32" s="153"/>
      <c r="P32" s="153"/>
      <c r="Q32" s="153"/>
      <c r="R32" s="153"/>
      <c r="S32" s="153"/>
      <c r="T32" s="153"/>
      <c r="U32" s="153"/>
      <c r="V32" s="153"/>
      <c r="W32" s="153"/>
      <c r="X32" s="153"/>
      <c r="Y32" s="153"/>
      <c r="Z32" s="153"/>
    </row>
    <row r="33">
      <c r="A33" s="28"/>
      <c r="B33" s="186" t="s">
        <v>172</v>
      </c>
      <c r="C33" s="186" t="s">
        <v>175</v>
      </c>
      <c r="D33" s="186" t="s">
        <v>243</v>
      </c>
      <c r="E33" s="187" t="s">
        <v>244</v>
      </c>
      <c r="F33" s="188" t="s">
        <v>245</v>
      </c>
      <c r="G33" s="189" t="s">
        <v>244</v>
      </c>
      <c r="H33" s="190"/>
      <c r="I33" s="157" t="s">
        <v>172</v>
      </c>
      <c r="J33" s="157" t="s">
        <v>175</v>
      </c>
      <c r="K33" s="157" t="s">
        <v>243</v>
      </c>
      <c r="L33" s="157" t="s">
        <v>244</v>
      </c>
      <c r="M33" s="191" t="s">
        <v>245</v>
      </c>
      <c r="N33" s="192" t="s">
        <v>244</v>
      </c>
    </row>
    <row r="34">
      <c r="A34" s="28"/>
      <c r="B34" s="193" t="s">
        <v>246</v>
      </c>
      <c r="C34" s="194" t="s">
        <v>247</v>
      </c>
      <c r="D34" s="195">
        <v>0.2375</v>
      </c>
      <c r="E34" s="196" t="s">
        <v>248</v>
      </c>
      <c r="F34" s="197">
        <v>0.244</v>
      </c>
      <c r="G34" s="198"/>
      <c r="H34" s="164"/>
      <c r="I34" s="199" t="s">
        <v>246</v>
      </c>
      <c r="J34" s="200">
        <v>707.4</v>
      </c>
      <c r="K34" s="201">
        <v>0.2375</v>
      </c>
      <c r="L34" s="202" t="s">
        <v>248</v>
      </c>
      <c r="M34" s="203">
        <f t="shared" ref="M34:M37" si="1">J34/sum($J$34:$J$37)</f>
        <v>0.2409072333</v>
      </c>
      <c r="N34" s="198"/>
    </row>
    <row r="35">
      <c r="A35" s="28"/>
      <c r="B35" s="204" t="s">
        <v>249</v>
      </c>
      <c r="C35" s="205" t="s">
        <v>250</v>
      </c>
      <c r="D35" s="206">
        <v>0.3375</v>
      </c>
      <c r="E35" s="207" t="s">
        <v>248</v>
      </c>
      <c r="F35" s="208">
        <v>0.351</v>
      </c>
      <c r="G35" s="209"/>
      <c r="H35" s="164"/>
      <c r="I35" s="204" t="s">
        <v>249</v>
      </c>
      <c r="J35" s="210">
        <v>1019.0</v>
      </c>
      <c r="K35" s="211">
        <v>0.3375</v>
      </c>
      <c r="L35" s="212" t="s">
        <v>248</v>
      </c>
      <c r="M35" s="213">
        <f t="shared" si="1"/>
        <v>0.3470235663</v>
      </c>
      <c r="N35" s="209"/>
    </row>
    <row r="36">
      <c r="A36" s="28"/>
      <c r="B36" s="214" t="s">
        <v>251</v>
      </c>
      <c r="C36" s="215" t="s">
        <v>252</v>
      </c>
      <c r="D36" s="216">
        <v>0.2875</v>
      </c>
      <c r="E36" s="217" t="s">
        <v>248</v>
      </c>
      <c r="F36" s="218">
        <v>0.301</v>
      </c>
      <c r="G36" s="219"/>
      <c r="H36" s="164"/>
      <c r="I36" s="214" t="s">
        <v>251</v>
      </c>
      <c r="J36" s="220">
        <v>785.2</v>
      </c>
      <c r="K36" s="221">
        <v>0.2875</v>
      </c>
      <c r="L36" s="222" t="s">
        <v>248</v>
      </c>
      <c r="M36" s="223">
        <f t="shared" si="1"/>
        <v>0.2674022613</v>
      </c>
      <c r="N36" s="219"/>
    </row>
    <row r="37">
      <c r="A37" s="28"/>
      <c r="B37" s="224" t="s">
        <v>253</v>
      </c>
      <c r="C37" s="225" t="s">
        <v>254</v>
      </c>
      <c r="D37" s="226">
        <v>0.1375</v>
      </c>
      <c r="E37" s="227" t="s">
        <v>248</v>
      </c>
      <c r="F37" s="228">
        <v>0.1</v>
      </c>
      <c r="G37" s="229"/>
      <c r="H37" s="164"/>
      <c r="I37" s="224" t="s">
        <v>253</v>
      </c>
      <c r="J37" s="230">
        <v>424.8</v>
      </c>
      <c r="K37" s="231">
        <v>0.1375</v>
      </c>
      <c r="L37" s="232" t="s">
        <v>248</v>
      </c>
      <c r="M37" s="233">
        <f t="shared" si="1"/>
        <v>0.1446669391</v>
      </c>
      <c r="N37" s="229"/>
    </row>
    <row r="38">
      <c r="A38" s="28"/>
      <c r="B38" s="28"/>
      <c r="C38" s="28"/>
      <c r="D38" s="28"/>
      <c r="E38" s="28"/>
      <c r="F38" s="28"/>
      <c r="G38" s="28"/>
    </row>
    <row r="39" ht="24.75" customHeight="1">
      <c r="A39" s="142"/>
      <c r="B39" s="234" t="s">
        <v>255</v>
      </c>
      <c r="C39" s="235"/>
      <c r="D39" s="235"/>
      <c r="E39" s="235"/>
      <c r="F39" s="235"/>
      <c r="G39" s="235"/>
      <c r="H39" s="235"/>
      <c r="I39" s="235"/>
      <c r="J39" s="235"/>
      <c r="K39" s="235"/>
      <c r="L39" s="235"/>
      <c r="M39" s="235"/>
      <c r="N39" s="236"/>
      <c r="O39" s="146"/>
      <c r="P39" s="146"/>
      <c r="Q39" s="146"/>
      <c r="R39" s="146"/>
      <c r="S39" s="146"/>
      <c r="T39" s="146"/>
      <c r="U39" s="146"/>
      <c r="V39" s="146"/>
      <c r="W39" s="146"/>
      <c r="X39" s="146"/>
      <c r="Y39" s="146"/>
      <c r="Z39" s="146"/>
    </row>
    <row r="40" ht="21.75" customHeight="1">
      <c r="A40" s="147"/>
      <c r="B40" s="237" t="s">
        <v>256</v>
      </c>
      <c r="C40" s="235"/>
      <c r="D40" s="235"/>
      <c r="E40" s="235"/>
      <c r="F40" s="235"/>
      <c r="G40" s="236"/>
      <c r="H40" s="185"/>
      <c r="I40" s="152" t="s">
        <v>257</v>
      </c>
      <c r="J40" s="149"/>
      <c r="K40" s="149"/>
      <c r="L40" s="149"/>
      <c r="M40" s="149"/>
      <c r="N40" s="150"/>
      <c r="O40" s="153"/>
      <c r="P40" s="153"/>
      <c r="Q40" s="153"/>
      <c r="R40" s="153"/>
      <c r="S40" s="153"/>
      <c r="T40" s="153"/>
      <c r="U40" s="153"/>
      <c r="V40" s="153"/>
      <c r="W40" s="153"/>
      <c r="X40" s="153"/>
      <c r="Y40" s="153"/>
      <c r="Z40" s="153"/>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28"/>
      <c r="B42" s="242" t="s">
        <v>262</v>
      </c>
      <c r="C42" s="243" t="s">
        <v>156</v>
      </c>
      <c r="D42" s="243">
        <v>3098.5</v>
      </c>
      <c r="E42" s="244">
        <v>1.0</v>
      </c>
      <c r="F42" s="245"/>
      <c r="G42" s="235"/>
      <c r="H42" s="164"/>
      <c r="I42" s="242" t="s">
        <v>262</v>
      </c>
      <c r="J42" s="243" t="s">
        <v>156</v>
      </c>
      <c r="K42" s="243">
        <v>2936.4</v>
      </c>
      <c r="L42" s="246">
        <v>0.984</v>
      </c>
      <c r="M42" s="245"/>
      <c r="N42" s="235"/>
    </row>
    <row r="43">
      <c r="A43" s="28"/>
      <c r="B43" s="242" t="s">
        <v>158</v>
      </c>
      <c r="C43" s="243" t="s">
        <v>159</v>
      </c>
      <c r="D43" s="243">
        <v>131.7</v>
      </c>
      <c r="E43" s="244">
        <v>1.0</v>
      </c>
      <c r="F43" s="245"/>
      <c r="G43" s="235"/>
      <c r="H43" s="164"/>
      <c r="I43" s="242" t="s">
        <v>158</v>
      </c>
      <c r="J43" s="243" t="s">
        <v>159</v>
      </c>
      <c r="K43" s="243">
        <v>70.6</v>
      </c>
      <c r="L43" s="246">
        <v>0.599</v>
      </c>
      <c r="M43" s="245"/>
      <c r="N43" s="235"/>
    </row>
    <row r="44">
      <c r="A44" s="28"/>
      <c r="B44" s="242" t="s">
        <v>263</v>
      </c>
      <c r="C44" s="243" t="s">
        <v>163</v>
      </c>
      <c r="D44" s="243">
        <v>94.5</v>
      </c>
      <c r="E44" s="244">
        <v>1.0</v>
      </c>
      <c r="F44" s="245"/>
      <c r="G44" s="235"/>
      <c r="H44" s="164"/>
      <c r="I44" s="242" t="s">
        <v>263</v>
      </c>
      <c r="J44" s="243" t="s">
        <v>163</v>
      </c>
      <c r="K44" s="243">
        <v>99.6</v>
      </c>
      <c r="L44" s="246">
        <v>1.0</v>
      </c>
      <c r="M44" s="245"/>
      <c r="N44" s="235"/>
    </row>
    <row r="45">
      <c r="A45" s="28"/>
      <c r="B45" s="242" t="s">
        <v>264</v>
      </c>
      <c r="C45" s="243" t="s">
        <v>166</v>
      </c>
      <c r="D45" s="243">
        <v>455.93</v>
      </c>
      <c r="E45" s="244">
        <v>1.0</v>
      </c>
      <c r="F45" s="245"/>
      <c r="G45" s="235"/>
      <c r="H45" s="164"/>
      <c r="I45" s="242" t="s">
        <v>264</v>
      </c>
      <c r="J45" s="243" t="s">
        <v>166</v>
      </c>
      <c r="K45" s="243">
        <v>448.1</v>
      </c>
      <c r="L45" s="246">
        <v>1.0</v>
      </c>
      <c r="M45" s="245"/>
      <c r="N45" s="235"/>
    </row>
    <row r="46">
      <c r="A46" s="28"/>
      <c r="B46" s="242" t="s">
        <v>265</v>
      </c>
      <c r="C46" s="243" t="s">
        <v>266</v>
      </c>
      <c r="D46" s="243">
        <v>2051.81</v>
      </c>
      <c r="E46" s="244">
        <v>1.0</v>
      </c>
      <c r="F46" s="245"/>
      <c r="G46" s="235"/>
      <c r="H46" s="164"/>
      <c r="I46" s="242" t="s">
        <v>265</v>
      </c>
      <c r="J46" s="243" t="s">
        <v>266</v>
      </c>
      <c r="K46" s="243">
        <v>4273.1</v>
      </c>
      <c r="L46" s="246">
        <f>K46/2300</f>
        <v>1.857869565</v>
      </c>
      <c r="M46" s="245"/>
      <c r="N46" s="235"/>
    </row>
    <row r="47">
      <c r="A47" s="28"/>
      <c r="B47" s="242" t="s">
        <v>267</v>
      </c>
      <c r="C47" s="243" t="s">
        <v>268</v>
      </c>
      <c r="D47" s="243">
        <v>32.64</v>
      </c>
      <c r="E47" s="244">
        <v>1.0</v>
      </c>
      <c r="F47" s="245"/>
      <c r="G47" s="235"/>
      <c r="H47" s="164"/>
      <c r="I47" s="242" t="s">
        <v>267</v>
      </c>
      <c r="J47" s="243" t="s">
        <v>268</v>
      </c>
      <c r="K47" s="243">
        <v>10.1</v>
      </c>
      <c r="L47" s="246">
        <v>1.0</v>
      </c>
      <c r="M47" s="245"/>
      <c r="N47" s="235"/>
    </row>
    <row r="48">
      <c r="A48" s="28"/>
      <c r="B48" s="242" t="s">
        <v>269</v>
      </c>
      <c r="C48" s="243" t="s">
        <v>270</v>
      </c>
      <c r="D48" s="243">
        <v>194.19</v>
      </c>
      <c r="E48" s="244">
        <v>1.0</v>
      </c>
      <c r="F48" s="245"/>
      <c r="G48" s="235"/>
      <c r="H48" s="164"/>
      <c r="I48" s="242" t="s">
        <v>269</v>
      </c>
      <c r="J48" s="243" t="s">
        <v>270</v>
      </c>
      <c r="K48" s="243">
        <v>95.8</v>
      </c>
      <c r="L48" s="246">
        <v>1.0</v>
      </c>
      <c r="M48" s="245"/>
      <c r="N48" s="235"/>
    </row>
    <row r="49">
      <c r="A49" s="28"/>
      <c r="B49" s="242" t="s">
        <v>271</v>
      </c>
      <c r="C49" s="243" t="s">
        <v>272</v>
      </c>
      <c r="D49" s="243">
        <v>23.66</v>
      </c>
      <c r="E49" s="244">
        <v>1.0</v>
      </c>
      <c r="F49" s="245"/>
      <c r="G49" s="235"/>
      <c r="H49" s="247"/>
      <c r="I49" s="242" t="s">
        <v>271</v>
      </c>
      <c r="J49" s="243" t="s">
        <v>272</v>
      </c>
      <c r="K49" s="243">
        <v>25.3</v>
      </c>
      <c r="L49" s="246">
        <v>1.0</v>
      </c>
      <c r="M49" s="245"/>
      <c r="N49" s="235"/>
    </row>
    <row r="50">
      <c r="A50" s="28"/>
      <c r="B50" s="28"/>
      <c r="C50" s="28"/>
      <c r="D50" s="28"/>
      <c r="E50" s="28"/>
      <c r="F50" s="28"/>
      <c r="G50" s="28"/>
      <c r="J50" s="248"/>
      <c r="K50" s="248"/>
      <c r="L50" s="249"/>
    </row>
    <row r="51" ht="24.0" customHeight="1">
      <c r="A51" s="142"/>
      <c r="B51" s="234" t="s">
        <v>273</v>
      </c>
      <c r="C51" s="235"/>
      <c r="D51" s="235"/>
      <c r="E51" s="235"/>
      <c r="F51" s="235"/>
      <c r="G51" s="235"/>
      <c r="H51" s="235"/>
      <c r="I51" s="235"/>
      <c r="J51" s="235"/>
      <c r="K51" s="235"/>
      <c r="L51" s="235"/>
      <c r="M51" s="235"/>
      <c r="N51" s="236"/>
      <c r="O51" s="146"/>
      <c r="P51" s="146"/>
      <c r="Q51" s="146"/>
      <c r="R51" s="146"/>
      <c r="S51" s="146"/>
      <c r="T51" s="146"/>
      <c r="U51" s="146"/>
      <c r="V51" s="146"/>
      <c r="W51" s="146"/>
      <c r="X51" s="146"/>
      <c r="Y51" s="146"/>
      <c r="Z51" s="146"/>
    </row>
    <row r="52" ht="23.25" customHeight="1">
      <c r="A52" s="147"/>
      <c r="B52" s="237" t="s">
        <v>274</v>
      </c>
      <c r="C52" s="235"/>
      <c r="D52" s="235"/>
      <c r="E52" s="235"/>
      <c r="F52" s="235"/>
      <c r="G52" s="236"/>
      <c r="H52" s="185"/>
      <c r="I52" s="152" t="s">
        <v>275</v>
      </c>
      <c r="J52" s="149"/>
      <c r="K52" s="149"/>
      <c r="L52" s="149"/>
      <c r="M52" s="149"/>
      <c r="N52" s="150"/>
      <c r="O52" s="153"/>
      <c r="P52" s="153"/>
      <c r="Q52" s="153"/>
      <c r="R52" s="153"/>
      <c r="S52" s="153"/>
      <c r="T52" s="153"/>
      <c r="U52" s="153"/>
      <c r="V52" s="153"/>
      <c r="W52" s="153"/>
      <c r="X52" s="153"/>
      <c r="Y52" s="153"/>
      <c r="Z52" s="153"/>
    </row>
    <row r="53">
      <c r="A53" s="28"/>
      <c r="B53" s="238" t="s">
        <v>258</v>
      </c>
      <c r="C53" s="238" t="s">
        <v>276</v>
      </c>
      <c r="D53" s="238" t="s">
        <v>260</v>
      </c>
      <c r="E53" s="250" t="s">
        <v>261</v>
      </c>
      <c r="F53" s="251" t="s">
        <v>244</v>
      </c>
      <c r="G53" s="252"/>
      <c r="H53" s="190"/>
      <c r="I53" s="239" t="s">
        <v>258</v>
      </c>
      <c r="J53" s="239" t="s">
        <v>276</v>
      </c>
      <c r="K53" s="239" t="s">
        <v>260</v>
      </c>
      <c r="L53" s="240" t="s">
        <v>261</v>
      </c>
      <c r="M53" s="241"/>
      <c r="N53" s="150"/>
    </row>
    <row r="54">
      <c r="A54" s="28"/>
      <c r="B54" s="242" t="s">
        <v>277</v>
      </c>
      <c r="C54" s="243" t="s">
        <v>278</v>
      </c>
      <c r="D54" s="253">
        <v>0.19</v>
      </c>
      <c r="E54" s="254" t="s">
        <v>279</v>
      </c>
      <c r="F54" s="255"/>
      <c r="G54" s="256"/>
      <c r="H54" s="164"/>
      <c r="I54" s="242" t="s">
        <v>277</v>
      </c>
      <c r="J54" s="243" t="s">
        <v>278</v>
      </c>
      <c r="K54" s="243">
        <v>0.1</v>
      </c>
      <c r="L54" s="246">
        <v>0.16</v>
      </c>
      <c r="M54" s="255"/>
      <c r="N54" s="256"/>
    </row>
    <row r="55">
      <c r="A55" s="28"/>
      <c r="B55" s="242" t="s">
        <v>280</v>
      </c>
      <c r="C55" s="243" t="s">
        <v>281</v>
      </c>
      <c r="D55" s="253">
        <v>135.24</v>
      </c>
      <c r="E55" s="257">
        <v>1.0</v>
      </c>
      <c r="F55" s="245"/>
      <c r="G55" s="235"/>
      <c r="H55" s="164"/>
      <c r="I55" s="242" t="s">
        <v>280</v>
      </c>
      <c r="J55" s="243" t="s">
        <v>281</v>
      </c>
      <c r="K55" s="243">
        <v>20.4</v>
      </c>
      <c r="L55" s="246">
        <v>0.226</v>
      </c>
      <c r="M55" s="245"/>
      <c r="N55" s="235"/>
    </row>
    <row r="56">
      <c r="A56" s="28"/>
      <c r="B56" s="242" t="s">
        <v>282</v>
      </c>
      <c r="C56" s="243" t="s">
        <v>283</v>
      </c>
      <c r="D56" s="253">
        <v>0.0</v>
      </c>
      <c r="E56" s="258">
        <v>0.0</v>
      </c>
      <c r="F56" s="245"/>
      <c r="G56" s="235"/>
      <c r="H56" s="164"/>
      <c r="I56" s="242" t="s">
        <v>282</v>
      </c>
      <c r="J56" s="243" t="s">
        <v>283</v>
      </c>
      <c r="K56" s="243">
        <v>0.0</v>
      </c>
      <c r="L56" s="246">
        <v>0.0</v>
      </c>
      <c r="M56" s="245"/>
      <c r="N56" s="235"/>
    </row>
    <row r="57">
      <c r="A57" s="28"/>
      <c r="B57" s="242" t="s">
        <v>284</v>
      </c>
      <c r="C57" s="243" t="s">
        <v>285</v>
      </c>
      <c r="D57" s="253">
        <v>25.45</v>
      </c>
      <c r="E57" s="257">
        <v>1.0</v>
      </c>
      <c r="F57" s="245"/>
      <c r="G57" s="235"/>
      <c r="H57" s="164"/>
      <c r="I57" s="242" t="s">
        <v>284</v>
      </c>
      <c r="J57" s="243" t="s">
        <v>285</v>
      </c>
      <c r="K57" s="243">
        <v>5.9</v>
      </c>
      <c r="L57" s="246">
        <v>0.396</v>
      </c>
      <c r="M57" s="245"/>
      <c r="N57" s="235"/>
    </row>
    <row r="58">
      <c r="A58" s="28"/>
      <c r="B58" s="242" t="s">
        <v>286</v>
      </c>
      <c r="C58" s="243">
        <v>0.1</v>
      </c>
      <c r="D58" s="253">
        <v>0.06</v>
      </c>
      <c r="E58" s="258">
        <v>0.5</v>
      </c>
      <c r="F58" s="245"/>
      <c r="G58" s="235"/>
      <c r="H58" s="164"/>
      <c r="I58" s="242" t="s">
        <v>286</v>
      </c>
      <c r="J58" s="243">
        <v>0.1</v>
      </c>
      <c r="K58" s="243">
        <v>0.056</v>
      </c>
      <c r="L58" s="246">
        <v>0.467</v>
      </c>
      <c r="M58" s="245"/>
      <c r="N58" s="235"/>
    </row>
    <row r="59">
      <c r="A59" s="28"/>
      <c r="B59" s="242" t="s">
        <v>287</v>
      </c>
      <c r="C59" s="243">
        <v>1.2</v>
      </c>
      <c r="D59" s="253">
        <v>4.21</v>
      </c>
      <c r="E59" s="257">
        <v>1.0</v>
      </c>
      <c r="F59" s="245"/>
      <c r="G59" s="235"/>
      <c r="H59" s="164"/>
      <c r="I59" s="242" t="s">
        <v>287</v>
      </c>
      <c r="J59" s="243">
        <v>1.2</v>
      </c>
      <c r="K59" s="243">
        <v>3.3</v>
      </c>
      <c r="L59" s="246">
        <v>1.0</v>
      </c>
      <c r="M59" s="245"/>
      <c r="N59" s="235"/>
    </row>
    <row r="60">
      <c r="A60" s="28"/>
      <c r="B60" s="242" t="s">
        <v>288</v>
      </c>
      <c r="C60" s="243">
        <v>1.3</v>
      </c>
      <c r="D60" s="253">
        <v>3.68</v>
      </c>
      <c r="E60" s="257">
        <v>1.0</v>
      </c>
      <c r="F60" s="245"/>
      <c r="G60" s="235"/>
      <c r="H60" s="164"/>
      <c r="I60" s="242" t="s">
        <v>288</v>
      </c>
      <c r="J60" s="243">
        <v>1.3</v>
      </c>
      <c r="K60" s="243">
        <v>2.8</v>
      </c>
      <c r="L60" s="246">
        <v>1.0</v>
      </c>
      <c r="M60" s="245"/>
      <c r="N60" s="235"/>
    </row>
    <row r="61">
      <c r="A61" s="28"/>
      <c r="B61" s="242" t="s">
        <v>289</v>
      </c>
      <c r="C61" s="243" t="s">
        <v>290</v>
      </c>
      <c r="D61" s="253">
        <v>34.36</v>
      </c>
      <c r="E61" s="257">
        <v>1.0</v>
      </c>
      <c r="F61" s="245"/>
      <c r="G61" s="235"/>
      <c r="H61" s="164"/>
      <c r="I61" s="242" t="s">
        <v>289</v>
      </c>
      <c r="J61" s="243" t="s">
        <v>290</v>
      </c>
      <c r="K61" s="243">
        <v>28.0</v>
      </c>
      <c r="L61" s="246">
        <v>1.0</v>
      </c>
      <c r="M61" s="245"/>
      <c r="N61" s="235"/>
    </row>
    <row r="62">
      <c r="A62" s="28"/>
      <c r="B62" s="242" t="s">
        <v>291</v>
      </c>
      <c r="C62" s="243">
        <v>5.0</v>
      </c>
      <c r="D62" s="253">
        <v>7.58</v>
      </c>
      <c r="E62" s="257">
        <v>1.0</v>
      </c>
      <c r="F62" s="245"/>
      <c r="G62" s="235"/>
      <c r="H62" s="164"/>
      <c r="I62" s="242" t="s">
        <v>291</v>
      </c>
      <c r="J62" s="243">
        <v>5.0</v>
      </c>
      <c r="K62" s="243">
        <v>4.3</v>
      </c>
      <c r="L62" s="246">
        <v>0.85</v>
      </c>
      <c r="M62" s="245"/>
      <c r="N62" s="235"/>
    </row>
    <row r="63">
      <c r="A63" s="28"/>
      <c r="B63" s="242" t="s">
        <v>292</v>
      </c>
      <c r="C63" s="243" t="s">
        <v>293</v>
      </c>
      <c r="D63" s="253">
        <v>4.83</v>
      </c>
      <c r="E63" s="257">
        <v>1.0</v>
      </c>
      <c r="F63" s="245"/>
      <c r="G63" s="235"/>
      <c r="H63" s="164"/>
      <c r="I63" s="242" t="s">
        <v>292</v>
      </c>
      <c r="J63" s="243" t="s">
        <v>293</v>
      </c>
      <c r="K63" s="243">
        <v>0.8</v>
      </c>
      <c r="L63" s="246">
        <v>0.607</v>
      </c>
      <c r="M63" s="245"/>
      <c r="N63" s="235"/>
    </row>
    <row r="64">
      <c r="A64" s="28"/>
      <c r="B64" s="242" t="s">
        <v>294</v>
      </c>
      <c r="C64" s="243" t="s">
        <v>295</v>
      </c>
      <c r="D64" s="253">
        <v>0.95</v>
      </c>
      <c r="E64" s="257">
        <v>1.0</v>
      </c>
      <c r="F64" s="245"/>
      <c r="G64" s="235"/>
      <c r="H64" s="164"/>
      <c r="I64" s="242" t="s">
        <v>294</v>
      </c>
      <c r="J64" s="243" t="s">
        <v>295</v>
      </c>
      <c r="K64" s="243">
        <v>0.9</v>
      </c>
      <c r="L64" s="246">
        <v>1.0</v>
      </c>
      <c r="M64" s="245"/>
      <c r="N64" s="235"/>
    </row>
    <row r="65">
      <c r="A65" s="28"/>
      <c r="B65" s="242" t="s">
        <v>296</v>
      </c>
      <c r="C65" s="243">
        <v>0.0024</v>
      </c>
      <c r="D65" s="253">
        <v>0.01</v>
      </c>
      <c r="E65" s="257">
        <v>1.0</v>
      </c>
      <c r="F65" s="245"/>
      <c r="G65" s="235"/>
      <c r="H65" s="164"/>
      <c r="I65" s="242" t="s">
        <v>296</v>
      </c>
      <c r="J65" s="243">
        <v>0.0024</v>
      </c>
      <c r="K65" s="243">
        <v>0.0015</v>
      </c>
      <c r="L65" s="246">
        <v>0.625</v>
      </c>
      <c r="M65" s="245"/>
      <c r="N65" s="235"/>
    </row>
    <row r="66">
      <c r="A66" s="28"/>
      <c r="B66" s="242" t="s">
        <v>297</v>
      </c>
      <c r="C66" s="243" t="s">
        <v>298</v>
      </c>
      <c r="D66" s="253">
        <v>1167.93</v>
      </c>
      <c r="E66" s="257">
        <v>1.0</v>
      </c>
      <c r="F66" s="245"/>
      <c r="G66" s="235"/>
      <c r="H66" s="164"/>
      <c r="I66" s="242" t="s">
        <v>297</v>
      </c>
      <c r="J66" s="243" t="s">
        <v>298</v>
      </c>
      <c r="K66" s="243">
        <v>1043.9</v>
      </c>
      <c r="L66" s="246">
        <v>1.0</v>
      </c>
      <c r="M66" s="245"/>
      <c r="N66" s="235"/>
    </row>
    <row r="67">
      <c r="A67" s="28"/>
      <c r="B67" s="242" t="s">
        <v>299</v>
      </c>
      <c r="C67" s="243" t="s">
        <v>300</v>
      </c>
      <c r="D67" s="253">
        <v>33.16</v>
      </c>
      <c r="E67" s="257">
        <v>1.0</v>
      </c>
      <c r="F67" s="245"/>
      <c r="G67" s="235"/>
      <c r="H67" s="164"/>
      <c r="I67" s="242" t="s">
        <v>299</v>
      </c>
      <c r="J67" s="243" t="s">
        <v>300</v>
      </c>
      <c r="K67" s="243">
        <v>24.7</v>
      </c>
      <c r="L67" s="246">
        <v>1.0</v>
      </c>
      <c r="M67" s="245"/>
      <c r="N67" s="235"/>
    </row>
    <row r="68">
      <c r="A68" s="28"/>
      <c r="B68" s="242" t="s">
        <v>301</v>
      </c>
      <c r="C68" s="243">
        <v>400.0</v>
      </c>
      <c r="D68" s="253">
        <v>960.36</v>
      </c>
      <c r="E68" s="257">
        <v>1.0</v>
      </c>
      <c r="F68" s="245"/>
      <c r="G68" s="235"/>
      <c r="H68" s="164"/>
      <c r="I68" s="242" t="s">
        <v>301</v>
      </c>
      <c r="J68" s="243">
        <v>400.0</v>
      </c>
      <c r="K68" s="243">
        <v>225.6</v>
      </c>
      <c r="L68" s="246">
        <v>0.564</v>
      </c>
      <c r="M68" s="245"/>
      <c r="N68" s="235"/>
    </row>
    <row r="69">
      <c r="A69" s="28"/>
      <c r="B69" s="242" t="s">
        <v>302</v>
      </c>
      <c r="C69" s="243" t="s">
        <v>303</v>
      </c>
      <c r="D69" s="253">
        <v>3324.31</v>
      </c>
      <c r="E69" s="257">
        <v>1.0</v>
      </c>
      <c r="F69" s="245"/>
      <c r="G69" s="235"/>
      <c r="H69" s="164"/>
      <c r="I69" s="242" t="s">
        <v>302</v>
      </c>
      <c r="J69" s="243" t="s">
        <v>303</v>
      </c>
      <c r="K69" s="243">
        <v>1189.2</v>
      </c>
      <c r="L69" s="246">
        <v>1.0</v>
      </c>
      <c r="M69" s="245"/>
      <c r="N69" s="235"/>
    </row>
    <row r="70">
      <c r="A70" s="28"/>
      <c r="B70" s="242" t="s">
        <v>304</v>
      </c>
      <c r="C70" s="243">
        <v>3400.0</v>
      </c>
      <c r="D70" s="253">
        <v>5678.96</v>
      </c>
      <c r="E70" s="257">
        <v>1.0</v>
      </c>
      <c r="F70" s="245"/>
      <c r="G70" s="235"/>
      <c r="H70" s="164"/>
      <c r="I70" s="242" t="s">
        <v>304</v>
      </c>
      <c r="J70" s="243">
        <v>3400.0</v>
      </c>
      <c r="K70" s="243">
        <v>1957.9</v>
      </c>
      <c r="L70" s="246">
        <v>0.576</v>
      </c>
      <c r="M70" s="245"/>
      <c r="N70" s="235"/>
    </row>
    <row r="71">
      <c r="A71" s="28"/>
      <c r="B71" s="242" t="s">
        <v>305</v>
      </c>
      <c r="C71" s="243" t="s">
        <v>306</v>
      </c>
      <c r="D71" s="253">
        <v>36.17</v>
      </c>
      <c r="E71" s="257">
        <v>1.0</v>
      </c>
      <c r="F71" s="245"/>
      <c r="G71" s="235"/>
      <c r="H71" s="164"/>
      <c r="I71" s="242" t="s">
        <v>305</v>
      </c>
      <c r="J71" s="243" t="s">
        <v>306</v>
      </c>
      <c r="K71" s="243">
        <v>6.5</v>
      </c>
      <c r="L71" s="246">
        <v>0.587</v>
      </c>
      <c r="M71" s="245"/>
      <c r="N71" s="235"/>
    </row>
    <row r="72">
      <c r="A72" s="28"/>
      <c r="B72" s="242" t="s">
        <v>307</v>
      </c>
      <c r="C72" s="243" t="s">
        <v>308</v>
      </c>
      <c r="D72" s="253">
        <v>3.54</v>
      </c>
      <c r="E72" s="257">
        <v>1.0</v>
      </c>
      <c r="F72" s="245"/>
      <c r="G72" s="235"/>
      <c r="H72" s="164"/>
      <c r="I72" s="242" t="s">
        <v>307</v>
      </c>
      <c r="J72" s="243" t="s">
        <v>308</v>
      </c>
      <c r="K72" s="243">
        <v>0.9</v>
      </c>
      <c r="L72" s="246">
        <v>1.0</v>
      </c>
      <c r="M72" s="245"/>
      <c r="N72" s="235"/>
    </row>
    <row r="73">
      <c r="A73" s="28"/>
      <c r="B73" s="242" t="s">
        <v>309</v>
      </c>
      <c r="C73" s="243" t="s">
        <v>310</v>
      </c>
      <c r="D73" s="253">
        <v>31.5</v>
      </c>
      <c r="E73" s="259">
        <v>2.8636364</v>
      </c>
      <c r="F73" s="245"/>
      <c r="G73" s="235"/>
      <c r="H73" s="164"/>
      <c r="I73" s="242" t="s">
        <v>309</v>
      </c>
      <c r="J73" s="243" t="s">
        <v>310</v>
      </c>
      <c r="K73" s="243">
        <v>3.5</v>
      </c>
      <c r="L73" s="246">
        <v>1.0</v>
      </c>
      <c r="M73" s="245"/>
      <c r="N73" s="235"/>
    </row>
    <row r="74">
      <c r="A74" s="28"/>
      <c r="B74" s="242" t="s">
        <v>311</v>
      </c>
      <c r="C74" s="243" t="s">
        <v>312</v>
      </c>
      <c r="D74" s="253">
        <v>0.16</v>
      </c>
      <c r="E74" s="257">
        <v>1.0</v>
      </c>
      <c r="F74" s="245"/>
      <c r="G74" s="235"/>
      <c r="H74" s="164"/>
      <c r="I74" s="242" t="s">
        <v>311</v>
      </c>
      <c r="J74" s="243" t="s">
        <v>312</v>
      </c>
      <c r="K74" s="243">
        <v>0.2</v>
      </c>
      <c r="L74" s="246">
        <v>1.0</v>
      </c>
      <c r="M74" s="245"/>
      <c r="N74" s="235"/>
    </row>
    <row r="75">
      <c r="A75" s="28"/>
      <c r="B75" s="242" t="s">
        <v>167</v>
      </c>
      <c r="C75" s="243">
        <v>3700.0</v>
      </c>
      <c r="D75" s="253">
        <v>740.61</v>
      </c>
      <c r="E75" s="258">
        <v>0.2001649</v>
      </c>
      <c r="F75" s="245"/>
      <c r="G75" s="235"/>
      <c r="H75" s="164"/>
      <c r="I75" s="242" t="s">
        <v>167</v>
      </c>
      <c r="J75" s="243">
        <v>3700.0</v>
      </c>
      <c r="K75" s="243">
        <v>462.0</v>
      </c>
      <c r="L75" s="246">
        <v>0.125</v>
      </c>
      <c r="M75" s="245"/>
      <c r="N75" s="235"/>
    </row>
    <row r="76">
      <c r="A76" s="28"/>
      <c r="B76" s="242" t="s">
        <v>313</v>
      </c>
      <c r="C76" s="243">
        <v>38.0</v>
      </c>
      <c r="D76" s="253">
        <v>37.63</v>
      </c>
      <c r="E76" s="258">
        <v>0.9902632</v>
      </c>
      <c r="F76" s="245"/>
      <c r="G76" s="235"/>
      <c r="H76" s="260"/>
      <c r="I76" s="242" t="s">
        <v>313</v>
      </c>
      <c r="J76" s="243">
        <v>38.0</v>
      </c>
      <c r="K76" s="243">
        <v>35.8</v>
      </c>
      <c r="L76" s="246">
        <v>0.941</v>
      </c>
      <c r="M76" s="245"/>
      <c r="N76" s="235"/>
    </row>
    <row r="77">
      <c r="A77" s="28"/>
    </row>
    <row r="78" ht="24.0" customHeight="1">
      <c r="A78" s="142"/>
      <c r="B78" s="261" t="s">
        <v>314</v>
      </c>
      <c r="C78" s="262"/>
      <c r="D78" s="262"/>
      <c r="E78" s="262"/>
      <c r="F78" s="262"/>
      <c r="G78" s="262"/>
      <c r="H78" s="262"/>
      <c r="I78" s="262"/>
      <c r="J78" s="262"/>
      <c r="K78" s="262"/>
      <c r="L78" s="262"/>
      <c r="M78" s="262"/>
      <c r="N78" s="263"/>
      <c r="O78" s="146"/>
      <c r="P78" s="146"/>
      <c r="Q78" s="146"/>
      <c r="R78" s="146"/>
      <c r="S78" s="146"/>
      <c r="T78" s="146"/>
      <c r="U78" s="146"/>
      <c r="V78" s="146"/>
      <c r="W78" s="146"/>
      <c r="X78" s="146"/>
      <c r="Y78" s="146"/>
      <c r="Z78" s="146"/>
    </row>
    <row r="79">
      <c r="A79" s="28"/>
      <c r="B79" s="264" t="s">
        <v>315</v>
      </c>
      <c r="C79" s="262"/>
      <c r="D79" s="262"/>
      <c r="E79" s="262"/>
      <c r="F79" s="262"/>
      <c r="G79" s="262"/>
      <c r="H79" s="262"/>
      <c r="I79" s="262"/>
      <c r="J79" s="262"/>
      <c r="K79" s="262"/>
      <c r="L79" s="262"/>
      <c r="M79" s="262"/>
      <c r="N79" s="263"/>
    </row>
    <row r="80">
      <c r="A80" s="28"/>
      <c r="B80" s="265" t="s">
        <v>316</v>
      </c>
      <c r="C80" s="266" t="s">
        <v>317</v>
      </c>
      <c r="D80" s="266" t="s">
        <v>318</v>
      </c>
      <c r="E80" s="267" t="s">
        <v>319</v>
      </c>
      <c r="F80" s="268" t="s">
        <v>320</v>
      </c>
      <c r="G80" s="269" t="s">
        <v>321</v>
      </c>
      <c r="H80" s="164"/>
      <c r="I80" s="270" t="s">
        <v>316</v>
      </c>
      <c r="J80" s="271" t="s">
        <v>317</v>
      </c>
      <c r="K80" s="271" t="s">
        <v>318</v>
      </c>
      <c r="L80" s="272" t="s">
        <v>319</v>
      </c>
      <c r="M80" s="273" t="s">
        <v>322</v>
      </c>
      <c r="N80" s="274" t="s">
        <v>323</v>
      </c>
    </row>
    <row r="81">
      <c r="A81" s="28"/>
      <c r="B81" s="275" t="s">
        <v>94</v>
      </c>
      <c r="C81" s="276" t="s">
        <v>324</v>
      </c>
      <c r="D81" s="277" t="s">
        <v>325</v>
      </c>
      <c r="E81" s="278">
        <v>4.0</v>
      </c>
      <c r="F81" s="279" t="str">
        <f t="shared" ref="F81:F89" si="2">IF(ISBLANK(E81),"— Belum diisi",IF(E81=1,"Sangat Tidak Sesuai",IF(E81=2,"Tidak Sesuai",IF(E81=3,"Cukup Sesuai",IF(E81=4,"Sesuai",IF(E81=5,"Sangat Sesuai","—"))))))</f>
        <v>Sesuai</v>
      </c>
      <c r="G81" s="280" t="s">
        <v>326</v>
      </c>
      <c r="H81" s="164"/>
      <c r="I81" s="281" t="s">
        <v>94</v>
      </c>
      <c r="J81" s="282" t="s">
        <v>324</v>
      </c>
      <c r="K81" s="283" t="s">
        <v>325</v>
      </c>
      <c r="L81" s="284">
        <v>4.0</v>
      </c>
      <c r="M81" s="285" t="str">
        <f t="shared" ref="M81:M89" si="3">IF(ISBLANK(L81),"— Belum diisi",IF(L81=1,"Sangat Tidak Sesuai",IF(L81=2,"Tidak Sesuai",IF(L81=3,"Cukup Sesuai",IF(L81=4,"Sesuai",IF(L81=5,"Sangat Sesuai","—"))))))</f>
        <v>Sesuai</v>
      </c>
      <c r="N81" s="280" t="s">
        <v>326</v>
      </c>
    </row>
    <row r="82">
      <c r="A82" s="28"/>
      <c r="B82" s="275" t="s">
        <v>95</v>
      </c>
      <c r="C82" s="286" t="s">
        <v>327</v>
      </c>
      <c r="D82" s="287" t="s">
        <v>328</v>
      </c>
      <c r="E82" s="278">
        <v>3.0</v>
      </c>
      <c r="F82" s="288" t="str">
        <f t="shared" si="2"/>
        <v>Cukup Sesuai</v>
      </c>
      <c r="G82" s="280" t="s">
        <v>329</v>
      </c>
      <c r="H82" s="164"/>
      <c r="I82" s="281" t="s">
        <v>95</v>
      </c>
      <c r="J82" s="286" t="s">
        <v>327</v>
      </c>
      <c r="K82" s="287" t="s">
        <v>328</v>
      </c>
      <c r="L82" s="278">
        <v>3.0</v>
      </c>
      <c r="M82" s="288" t="str">
        <f t="shared" si="3"/>
        <v>Cukup Sesuai</v>
      </c>
      <c r="N82" s="280" t="s">
        <v>329</v>
      </c>
    </row>
    <row r="83">
      <c r="A83" s="28"/>
      <c r="B83" s="275" t="s">
        <v>96</v>
      </c>
      <c r="C83" s="276" t="s">
        <v>330</v>
      </c>
      <c r="D83" s="277" t="s">
        <v>331</v>
      </c>
      <c r="E83" s="278">
        <v>3.0</v>
      </c>
      <c r="F83" s="279" t="str">
        <f t="shared" si="2"/>
        <v>Cukup Sesuai</v>
      </c>
      <c r="G83" s="280" t="s">
        <v>332</v>
      </c>
      <c r="H83" s="164"/>
      <c r="I83" s="281" t="s">
        <v>96</v>
      </c>
      <c r="J83" s="282" t="s">
        <v>330</v>
      </c>
      <c r="K83" s="289" t="s">
        <v>331</v>
      </c>
      <c r="L83" s="278">
        <v>3.0</v>
      </c>
      <c r="M83" s="290" t="str">
        <f t="shared" si="3"/>
        <v>Cukup Sesuai</v>
      </c>
      <c r="N83" s="280" t="s">
        <v>333</v>
      </c>
    </row>
    <row r="84">
      <c r="A84" s="28"/>
      <c r="B84" s="275" t="s">
        <v>97</v>
      </c>
      <c r="C84" s="286" t="s">
        <v>334</v>
      </c>
      <c r="D84" s="287" t="s">
        <v>335</v>
      </c>
      <c r="E84" s="278">
        <v>4.0</v>
      </c>
      <c r="F84" s="288" t="str">
        <f t="shared" si="2"/>
        <v>Sesuai</v>
      </c>
      <c r="G84" s="280" t="s">
        <v>326</v>
      </c>
      <c r="H84" s="164"/>
      <c r="I84" s="281" t="s">
        <v>97</v>
      </c>
      <c r="J84" s="286" t="s">
        <v>334</v>
      </c>
      <c r="K84" s="287" t="s">
        <v>335</v>
      </c>
      <c r="L84" s="278">
        <v>4.0</v>
      </c>
      <c r="M84" s="288" t="str">
        <f t="shared" si="3"/>
        <v>Sesuai</v>
      </c>
      <c r="N84" s="280" t="s">
        <v>326</v>
      </c>
    </row>
    <row r="85">
      <c r="A85" s="28"/>
      <c r="B85" s="275" t="s">
        <v>98</v>
      </c>
      <c r="C85" s="276" t="s">
        <v>336</v>
      </c>
      <c r="D85" s="277" t="s">
        <v>337</v>
      </c>
      <c r="E85" s="278">
        <v>3.0</v>
      </c>
      <c r="F85" s="279" t="str">
        <f t="shared" si="2"/>
        <v>Cukup Sesuai</v>
      </c>
      <c r="G85" s="280" t="s">
        <v>338</v>
      </c>
      <c r="H85" s="164"/>
      <c r="I85" s="281" t="s">
        <v>98</v>
      </c>
      <c r="J85" s="282" t="s">
        <v>336</v>
      </c>
      <c r="K85" s="289" t="s">
        <v>337</v>
      </c>
      <c r="L85" s="278">
        <v>3.0</v>
      </c>
      <c r="M85" s="290" t="str">
        <f t="shared" si="3"/>
        <v>Cukup Sesuai</v>
      </c>
      <c r="N85" s="280" t="s">
        <v>338</v>
      </c>
    </row>
    <row r="86">
      <c r="A86" s="28"/>
      <c r="B86" s="291" t="s">
        <v>99</v>
      </c>
      <c r="C86" s="286" t="s">
        <v>339</v>
      </c>
      <c r="D86" s="287" t="s">
        <v>340</v>
      </c>
      <c r="E86" s="278">
        <v>3.0</v>
      </c>
      <c r="F86" s="288" t="str">
        <f t="shared" si="2"/>
        <v>Cukup Sesuai</v>
      </c>
      <c r="G86" s="280" t="s">
        <v>341</v>
      </c>
      <c r="H86" s="164"/>
      <c r="I86" s="292" t="s">
        <v>99</v>
      </c>
      <c r="J86" s="286" t="s">
        <v>339</v>
      </c>
      <c r="K86" s="287" t="s">
        <v>340</v>
      </c>
      <c r="L86" s="278">
        <v>3.0</v>
      </c>
      <c r="M86" s="288" t="str">
        <f t="shared" si="3"/>
        <v>Cukup Sesuai</v>
      </c>
      <c r="N86" s="280" t="s">
        <v>342</v>
      </c>
    </row>
    <row r="87">
      <c r="A87" s="28"/>
      <c r="B87" s="293" t="s">
        <v>100</v>
      </c>
      <c r="C87" s="276" t="s">
        <v>343</v>
      </c>
      <c r="D87" s="277" t="s">
        <v>344</v>
      </c>
      <c r="E87" s="278">
        <v>3.0</v>
      </c>
      <c r="F87" s="279" t="str">
        <f t="shared" si="2"/>
        <v>Cukup Sesuai</v>
      </c>
      <c r="G87" s="280" t="s">
        <v>345</v>
      </c>
      <c r="H87" s="164"/>
      <c r="I87" s="294" t="s">
        <v>100</v>
      </c>
      <c r="J87" s="282" t="s">
        <v>343</v>
      </c>
      <c r="K87" s="289" t="s">
        <v>344</v>
      </c>
      <c r="L87" s="278">
        <v>3.0</v>
      </c>
      <c r="M87" s="290" t="str">
        <f t="shared" si="3"/>
        <v>Cukup Sesuai</v>
      </c>
      <c r="N87" s="280" t="s">
        <v>345</v>
      </c>
    </row>
    <row r="88">
      <c r="A88" s="28"/>
      <c r="B88" s="295" t="s">
        <v>101</v>
      </c>
      <c r="C88" s="286" t="s">
        <v>346</v>
      </c>
      <c r="D88" s="287" t="s">
        <v>347</v>
      </c>
      <c r="E88" s="278">
        <v>3.0</v>
      </c>
      <c r="F88" s="288" t="str">
        <f t="shared" si="2"/>
        <v>Cukup Sesuai</v>
      </c>
      <c r="G88" s="280" t="s">
        <v>348</v>
      </c>
      <c r="H88" s="164"/>
      <c r="I88" s="296" t="s">
        <v>101</v>
      </c>
      <c r="J88" s="286" t="s">
        <v>346</v>
      </c>
      <c r="K88" s="287" t="s">
        <v>347</v>
      </c>
      <c r="L88" s="278">
        <v>4.0</v>
      </c>
      <c r="M88" s="288" t="str">
        <f t="shared" si="3"/>
        <v>Sesuai</v>
      </c>
      <c r="N88" s="297"/>
    </row>
    <row r="89">
      <c r="A89" s="28"/>
      <c r="B89" s="298" t="s">
        <v>102</v>
      </c>
      <c r="C89" s="276" t="s">
        <v>349</v>
      </c>
      <c r="D89" s="277" t="s">
        <v>350</v>
      </c>
      <c r="E89" s="278">
        <v>4.0</v>
      </c>
      <c r="F89" s="279" t="str">
        <f t="shared" si="2"/>
        <v>Sesuai</v>
      </c>
      <c r="G89" s="280"/>
      <c r="H89" s="164"/>
      <c r="I89" s="299" t="s">
        <v>102</v>
      </c>
      <c r="J89" s="282" t="s">
        <v>349</v>
      </c>
      <c r="K89" s="289" t="s">
        <v>350</v>
      </c>
      <c r="L89" s="278">
        <v>4.0</v>
      </c>
      <c r="M89" s="290" t="str">
        <f t="shared" si="3"/>
        <v>Sesuai</v>
      </c>
      <c r="N89" s="280"/>
    </row>
    <row r="90">
      <c r="A90" s="28"/>
      <c r="B90" s="300" t="s">
        <v>351</v>
      </c>
      <c r="C90" s="301"/>
      <c r="D90" s="27"/>
      <c r="E90" s="302">
        <f>IFERROR(AVERAGE(E81,E82,E83,E84,E85,E86,E87,E88,E89),"—")</f>
        <v>3.333333333</v>
      </c>
      <c r="F90" s="303" t="str">
        <f>IF(ISNUMBER(E90),IF(E90&lt;2,"Sangat Tidak Sesuai",IF(E90&lt;3,"Tidak Sesuai",IF(E90&lt;4,"Cukup Sesuai",IF(E90&lt;4.6,"Sesuai","Sangat Sesuai")))),"—")</f>
        <v>Cukup Sesuai</v>
      </c>
      <c r="G90" s="3"/>
      <c r="H90" s="164"/>
      <c r="I90" s="304" t="s">
        <v>351</v>
      </c>
      <c r="J90" s="301"/>
      <c r="K90" s="27"/>
      <c r="L90" s="294">
        <f>IFERROR(AVERAGE(L81,L82,L83,L84,L85,L86,L87,L88,L89),"—")</f>
        <v>3.444444444</v>
      </c>
      <c r="M90" s="305" t="str">
        <f>IF(ISNUMBER(L90),IF(L90&lt;2,"Sangat Tidak Sesuai",IF(L90&lt;3,"Tidak Sesuai",IF(L90&lt;4,"Cukup Sesuai",IF(L90&lt;4.6,"Sesuai","Sangat Sesuai")))),"—")</f>
        <v>Cukup Sesuai</v>
      </c>
      <c r="N90" s="3"/>
    </row>
    <row r="91">
      <c r="A91" s="28"/>
      <c r="B91" s="306"/>
    </row>
    <row r="92" ht="29.25" customHeight="1">
      <c r="A92" s="142"/>
      <c r="B92" s="307" t="s">
        <v>352</v>
      </c>
      <c r="C92" s="170"/>
      <c r="D92" s="170"/>
      <c r="E92" s="170"/>
      <c r="F92" s="170"/>
      <c r="G92" s="170"/>
      <c r="H92" s="170"/>
      <c r="I92" s="170"/>
      <c r="J92" s="170"/>
      <c r="K92" s="170"/>
      <c r="L92" s="170"/>
      <c r="M92" s="170"/>
      <c r="N92" s="308"/>
      <c r="O92" s="146"/>
      <c r="P92" s="146"/>
      <c r="Q92" s="146"/>
      <c r="R92" s="146"/>
      <c r="S92" s="146"/>
      <c r="T92" s="146"/>
      <c r="U92" s="146"/>
      <c r="V92" s="146"/>
      <c r="W92" s="146"/>
      <c r="X92" s="146"/>
      <c r="Y92" s="146"/>
      <c r="Z92" s="146"/>
    </row>
    <row r="93" ht="27.0" customHeight="1">
      <c r="A93" s="147"/>
      <c r="B93" s="309" t="s">
        <v>353</v>
      </c>
      <c r="C93" s="310"/>
      <c r="D93" s="310"/>
      <c r="E93" s="310"/>
      <c r="F93" s="310"/>
      <c r="G93" s="311"/>
      <c r="H93" s="312"/>
      <c r="I93" s="313" t="s">
        <v>354</v>
      </c>
      <c r="J93" s="30"/>
      <c r="K93" s="30"/>
      <c r="L93" s="30"/>
      <c r="M93" s="30"/>
      <c r="N93" s="3"/>
      <c r="O93" s="153"/>
      <c r="P93" s="153"/>
      <c r="Q93" s="153"/>
      <c r="R93" s="153"/>
      <c r="S93" s="153"/>
      <c r="T93" s="153"/>
      <c r="U93" s="153"/>
      <c r="V93" s="153"/>
      <c r="W93" s="153"/>
      <c r="X93" s="153"/>
      <c r="Y93" s="153"/>
      <c r="Z93" s="153"/>
    </row>
    <row r="94">
      <c r="A94" s="28"/>
      <c r="B94" s="314" t="s">
        <v>355</v>
      </c>
      <c r="C94" s="315"/>
      <c r="D94" s="315"/>
      <c r="E94" s="315"/>
      <c r="F94" s="315"/>
      <c r="G94" s="316"/>
      <c r="H94" s="260"/>
      <c r="I94" s="317" t="s">
        <v>355</v>
      </c>
      <c r="J94" s="30"/>
      <c r="K94" s="30"/>
      <c r="L94" s="30"/>
      <c r="M94" s="30"/>
      <c r="N94" s="3"/>
    </row>
    <row r="95">
      <c r="A95" s="28"/>
      <c r="B95" s="318" t="s">
        <v>356</v>
      </c>
      <c r="H95" s="260"/>
      <c r="I95" s="319" t="s">
        <v>356</v>
      </c>
      <c r="J95" s="30"/>
      <c r="K95" s="30"/>
      <c r="L95" s="30"/>
      <c r="M95" s="30"/>
      <c r="N95" s="3"/>
    </row>
    <row r="96">
      <c r="A96" s="28"/>
      <c r="B96" s="320" t="s">
        <v>357</v>
      </c>
      <c r="G96" s="321"/>
      <c r="H96" s="322"/>
      <c r="I96" s="323" t="s">
        <v>357</v>
      </c>
      <c r="J96" s="324"/>
      <c r="K96" s="324"/>
      <c r="L96" s="324"/>
      <c r="M96" s="324"/>
      <c r="N96" s="325"/>
    </row>
    <row r="97">
      <c r="A97" s="28"/>
      <c r="B97" s="326"/>
      <c r="G97" s="321"/>
      <c r="H97" s="322"/>
      <c r="I97" s="327"/>
      <c r="N97" s="328"/>
    </row>
    <row r="98">
      <c r="A98" s="28"/>
      <c r="B98" s="326"/>
      <c r="G98" s="321"/>
      <c r="H98" s="322"/>
      <c r="I98" s="327"/>
      <c r="N98" s="328"/>
    </row>
    <row r="99">
      <c r="A99" s="28"/>
      <c r="B99" s="329"/>
      <c r="C99" s="330"/>
      <c r="D99" s="330"/>
      <c r="E99" s="330"/>
      <c r="F99" s="330"/>
      <c r="G99" s="331"/>
      <c r="H99" s="322"/>
      <c r="I99" s="332"/>
      <c r="J99" s="333"/>
      <c r="K99" s="333"/>
      <c r="L99" s="333"/>
      <c r="M99" s="333"/>
      <c r="N99" s="334"/>
    </row>
    <row r="100">
      <c r="A100" s="28"/>
      <c r="B100" s="28"/>
      <c r="C100" s="28"/>
      <c r="D100" s="28"/>
      <c r="E100" s="28"/>
      <c r="F100" s="28"/>
      <c r="G100" s="28"/>
    </row>
    <row r="101">
      <c r="A101" s="28"/>
      <c r="B101" s="335" t="s">
        <v>358</v>
      </c>
      <c r="C101" s="144"/>
      <c r="D101" s="144"/>
      <c r="E101" s="144"/>
      <c r="F101" s="144"/>
      <c r="G101" s="145"/>
      <c r="H101" s="164"/>
      <c r="I101" s="336" t="s">
        <v>358</v>
      </c>
      <c r="J101" s="30"/>
      <c r="K101" s="30"/>
      <c r="L101" s="30"/>
      <c r="M101" s="30"/>
      <c r="N101" s="3"/>
    </row>
    <row r="102">
      <c r="A102" s="28"/>
      <c r="B102" s="337" t="s">
        <v>359</v>
      </c>
      <c r="H102" s="260"/>
      <c r="I102" s="338" t="s">
        <v>359</v>
      </c>
      <c r="J102" s="30"/>
      <c r="K102" s="30"/>
      <c r="L102" s="30"/>
      <c r="M102" s="30"/>
      <c r="N102" s="3"/>
    </row>
    <row r="103">
      <c r="A103" s="28"/>
      <c r="B103" s="339" t="s">
        <v>360</v>
      </c>
      <c r="G103" s="328"/>
      <c r="H103" s="340"/>
      <c r="I103" s="341" t="s">
        <v>360</v>
      </c>
      <c r="J103" s="324"/>
      <c r="K103" s="324"/>
      <c r="L103" s="324"/>
      <c r="M103" s="324"/>
      <c r="N103" s="325"/>
    </row>
    <row r="104">
      <c r="A104" s="28"/>
      <c r="B104" s="342"/>
      <c r="G104" s="328"/>
      <c r="H104" s="340"/>
      <c r="I104" s="327"/>
      <c r="N104" s="328"/>
    </row>
    <row r="105">
      <c r="A105" s="28"/>
      <c r="B105" s="342"/>
      <c r="G105" s="328"/>
      <c r="H105" s="340"/>
      <c r="I105" s="327"/>
      <c r="N105" s="328"/>
    </row>
    <row r="106">
      <c r="A106" s="28"/>
      <c r="B106" s="343"/>
      <c r="C106" s="163"/>
      <c r="D106" s="163"/>
      <c r="E106" s="163"/>
      <c r="F106" s="163"/>
      <c r="G106" s="344"/>
      <c r="H106" s="340"/>
      <c r="I106" s="332"/>
      <c r="J106" s="333"/>
      <c r="K106" s="333"/>
      <c r="L106" s="333"/>
      <c r="M106" s="333"/>
      <c r="N106" s="334"/>
    </row>
    <row r="107">
      <c r="A107" s="28"/>
    </row>
    <row r="108">
      <c r="A108" s="28"/>
      <c r="B108" s="345" t="s">
        <v>361</v>
      </c>
      <c r="C108" s="30"/>
      <c r="D108" s="30"/>
      <c r="E108" s="30"/>
      <c r="F108" s="30"/>
      <c r="G108" s="3"/>
      <c r="H108" s="164"/>
      <c r="I108" s="346" t="s">
        <v>361</v>
      </c>
      <c r="J108" s="30"/>
      <c r="K108" s="30"/>
      <c r="L108" s="30"/>
      <c r="M108" s="30"/>
      <c r="N108" s="3"/>
    </row>
    <row r="109">
      <c r="A109" s="28"/>
      <c r="B109" s="347" t="s">
        <v>362</v>
      </c>
      <c r="C109" s="30"/>
      <c r="D109" s="30"/>
      <c r="E109" s="30"/>
      <c r="F109" s="30"/>
      <c r="G109" s="3"/>
      <c r="H109" s="164"/>
      <c r="I109" s="348" t="s">
        <v>362</v>
      </c>
      <c r="J109" s="30"/>
      <c r="K109" s="30"/>
      <c r="L109" s="30"/>
      <c r="M109" s="30"/>
      <c r="N109" s="3"/>
    </row>
    <row r="110">
      <c r="A110" s="28"/>
      <c r="B110" s="349" t="s">
        <v>363</v>
      </c>
      <c r="C110" s="324"/>
      <c r="D110" s="324"/>
      <c r="E110" s="324"/>
      <c r="F110" s="324"/>
      <c r="G110" s="325"/>
      <c r="H110" s="340"/>
      <c r="I110" s="350" t="s">
        <v>363</v>
      </c>
      <c r="J110" s="324"/>
      <c r="K110" s="324"/>
      <c r="L110" s="324"/>
      <c r="M110" s="324"/>
      <c r="N110" s="325"/>
    </row>
    <row r="111">
      <c r="A111" s="28"/>
      <c r="B111" s="327"/>
      <c r="G111" s="328"/>
      <c r="H111" s="340"/>
      <c r="I111" s="327"/>
      <c r="N111" s="328"/>
    </row>
    <row r="112">
      <c r="A112" s="28"/>
      <c r="B112" s="327"/>
      <c r="G112" s="328"/>
      <c r="H112" s="340"/>
      <c r="I112" s="327"/>
      <c r="N112" s="328"/>
    </row>
    <row r="113">
      <c r="A113" s="28"/>
      <c r="B113" s="332"/>
      <c r="C113" s="333"/>
      <c r="D113" s="333"/>
      <c r="E113" s="333"/>
      <c r="F113" s="333"/>
      <c r="G113" s="334"/>
      <c r="H113" s="340"/>
      <c r="I113" s="332"/>
      <c r="J113" s="333"/>
      <c r="K113" s="333"/>
      <c r="L113" s="333"/>
      <c r="M113" s="333"/>
      <c r="N113" s="334"/>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row r="308">
      <c r="A308" s="28"/>
      <c r="B308" s="28"/>
      <c r="C308" s="28"/>
      <c r="D308" s="28"/>
      <c r="E308" s="28"/>
      <c r="F308" s="28"/>
      <c r="G308" s="28"/>
    </row>
    <row r="309">
      <c r="A309" s="28"/>
      <c r="B309" s="28"/>
      <c r="C309" s="28"/>
      <c r="D309" s="28"/>
      <c r="E309" s="28"/>
      <c r="F309" s="28"/>
      <c r="G309" s="28"/>
    </row>
    <row r="310">
      <c r="A310" s="28"/>
      <c r="B310" s="28"/>
      <c r="C310" s="28"/>
      <c r="D310" s="28"/>
      <c r="E310" s="28"/>
      <c r="F310" s="28"/>
      <c r="G310" s="28"/>
    </row>
    <row r="311">
      <c r="A311" s="28"/>
      <c r="B311" s="28"/>
      <c r="C311" s="28"/>
      <c r="D311" s="28"/>
      <c r="E311" s="28"/>
      <c r="F311" s="28"/>
      <c r="G311" s="28"/>
    </row>
    <row r="312">
      <c r="A312" s="28"/>
      <c r="B312" s="28"/>
      <c r="C312" s="28"/>
      <c r="D312" s="28"/>
      <c r="E312" s="28"/>
      <c r="F312" s="28"/>
      <c r="G312" s="28"/>
    </row>
    <row r="313">
      <c r="A313" s="28"/>
      <c r="B313" s="28"/>
      <c r="C313" s="28"/>
      <c r="D313" s="28"/>
      <c r="E313" s="28"/>
      <c r="F313" s="28"/>
      <c r="G313" s="28"/>
    </row>
    <row r="314">
      <c r="A314" s="28"/>
      <c r="B314" s="28"/>
      <c r="C314" s="28"/>
      <c r="D314" s="28"/>
      <c r="E314" s="28"/>
      <c r="F314" s="28"/>
      <c r="G314" s="28"/>
    </row>
  </sheetData>
  <mergeCells count="131">
    <mergeCell ref="I15:N15"/>
    <mergeCell ref="M16:N16"/>
    <mergeCell ref="B2:N2"/>
    <mergeCell ref="B3:N3"/>
    <mergeCell ref="B5:C5"/>
    <mergeCell ref="D5:E5"/>
    <mergeCell ref="B14:N14"/>
    <mergeCell ref="B15:G15"/>
    <mergeCell ref="F16:G16"/>
    <mergeCell ref="F21:G21"/>
    <mergeCell ref="F22:G22"/>
    <mergeCell ref="F23:G23"/>
    <mergeCell ref="F25:G25"/>
    <mergeCell ref="F26:G26"/>
    <mergeCell ref="F27:G27"/>
    <mergeCell ref="F29:G29"/>
    <mergeCell ref="F17:G17"/>
    <mergeCell ref="M17:N17"/>
    <mergeCell ref="F18:G18"/>
    <mergeCell ref="M18:N18"/>
    <mergeCell ref="F19:G19"/>
    <mergeCell ref="M19:N19"/>
    <mergeCell ref="M21:N21"/>
    <mergeCell ref="M22:N22"/>
    <mergeCell ref="M23:N23"/>
    <mergeCell ref="M25:N25"/>
    <mergeCell ref="M26:N26"/>
    <mergeCell ref="M27:N27"/>
    <mergeCell ref="M29:N29"/>
    <mergeCell ref="B31:N31"/>
    <mergeCell ref="M41:N41"/>
    <mergeCell ref="M42:N42"/>
    <mergeCell ref="B32:G32"/>
    <mergeCell ref="I32:N32"/>
    <mergeCell ref="B39:N39"/>
    <mergeCell ref="B40:G40"/>
    <mergeCell ref="I40:N40"/>
    <mergeCell ref="F41:G41"/>
    <mergeCell ref="F42:G4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I93:N93"/>
    <mergeCell ref="I94:N94"/>
    <mergeCell ref="B90:D90"/>
    <mergeCell ref="F90:G90"/>
    <mergeCell ref="I90:K90"/>
    <mergeCell ref="M90:N90"/>
    <mergeCell ref="B92:N92"/>
    <mergeCell ref="B93:G93"/>
    <mergeCell ref="B94:G94"/>
    <mergeCell ref="B95:G95"/>
    <mergeCell ref="I95:N95"/>
    <mergeCell ref="B96:G99"/>
    <mergeCell ref="I96:N99"/>
    <mergeCell ref="B101:G101"/>
    <mergeCell ref="I101:N101"/>
    <mergeCell ref="I102:N102"/>
    <mergeCell ref="I109:N109"/>
    <mergeCell ref="I110:N113"/>
    <mergeCell ref="B102:G102"/>
    <mergeCell ref="B103:G106"/>
    <mergeCell ref="I103:N106"/>
    <mergeCell ref="B108:G108"/>
    <mergeCell ref="I108:N108"/>
    <mergeCell ref="B109:G109"/>
    <mergeCell ref="B110:G113"/>
    <mergeCell ref="F43:G43"/>
    <mergeCell ref="M43:N43"/>
    <mergeCell ref="F44:G44"/>
    <mergeCell ref="M44:N44"/>
    <mergeCell ref="F45:G45"/>
    <mergeCell ref="M45:N45"/>
    <mergeCell ref="M46:N46"/>
    <mergeCell ref="M47:N47"/>
    <mergeCell ref="M48:N48"/>
    <mergeCell ref="M49:N49"/>
    <mergeCell ref="B51:N51"/>
    <mergeCell ref="B52:G52"/>
    <mergeCell ref="I52:N52"/>
    <mergeCell ref="M53:N53"/>
    <mergeCell ref="F46:G46"/>
    <mergeCell ref="F47:G47"/>
    <mergeCell ref="F48:G48"/>
    <mergeCell ref="F49:G49"/>
    <mergeCell ref="F53:G53"/>
    <mergeCell ref="F54:G54"/>
    <mergeCell ref="F55:G55"/>
    <mergeCell ref="M54:N54"/>
    <mergeCell ref="M55:N55"/>
    <mergeCell ref="M56:N56"/>
    <mergeCell ref="M57:N57"/>
    <mergeCell ref="M58:N58"/>
    <mergeCell ref="M59:N59"/>
    <mergeCell ref="M60:N60"/>
    <mergeCell ref="F56:G56"/>
    <mergeCell ref="F57:G57"/>
    <mergeCell ref="F58:G58"/>
    <mergeCell ref="F59:G59"/>
    <mergeCell ref="F60:G60"/>
    <mergeCell ref="F61:G61"/>
    <mergeCell ref="F62:G62"/>
    <mergeCell ref="M61:N61"/>
    <mergeCell ref="M62:N62"/>
    <mergeCell ref="M63:N63"/>
    <mergeCell ref="M64:N64"/>
    <mergeCell ref="M65:N65"/>
    <mergeCell ref="M66:N66"/>
    <mergeCell ref="M67:N67"/>
    <mergeCell ref="M75:N75"/>
    <mergeCell ref="M76:N76"/>
    <mergeCell ref="B78:N78"/>
    <mergeCell ref="B79:N79"/>
    <mergeCell ref="M68:N68"/>
    <mergeCell ref="M69:N69"/>
    <mergeCell ref="M70:N70"/>
    <mergeCell ref="M71:N71"/>
    <mergeCell ref="M72:N72"/>
    <mergeCell ref="M73:N73"/>
    <mergeCell ref="M74:N74"/>
  </mergeCells>
  <conditionalFormatting sqref="L54:L76">
    <cfRule type="cellIs" dxfId="0" priority="1" operator="equal">
      <formula>"100%"</formula>
    </cfRule>
  </conditionalFormatting>
  <conditionalFormatting sqref="L54:L76">
    <cfRule type="cellIs" dxfId="1" priority="2" operator="lessThan">
      <formula>"100%"</formula>
    </cfRule>
  </conditionalFormatting>
  <conditionalFormatting sqref="L54:L76">
    <cfRule type="cellIs" dxfId="2" priority="3" operator="greaterThan">
      <formula>"100%"</formula>
    </cfRule>
  </conditionalFormatting>
  <conditionalFormatting sqref="E54:E76">
    <cfRule type="cellIs" dxfId="3" priority="4" operator="equal">
      <formula>"100%"</formula>
    </cfRule>
  </conditionalFormatting>
  <conditionalFormatting sqref="E54:E76">
    <cfRule type="cellIs" dxfId="1" priority="5" operator="lessThan">
      <formula>"100%"</formula>
    </cfRule>
  </conditionalFormatting>
  <conditionalFormatting sqref="E54:E76">
    <cfRule type="cellIs" dxfId="2" priority="6" operator="greaterThan">
      <formula>1005</formula>
    </cfRule>
  </conditionalFormatting>
  <conditionalFormatting sqref="E42:E49">
    <cfRule type="cellIs" dxfId="3" priority="7" operator="equal">
      <formula>"100%"</formula>
    </cfRule>
  </conditionalFormatting>
  <conditionalFormatting sqref="B39:N39">
    <cfRule type="cellIs" dxfId="3" priority="8" operator="greaterThan">
      <formula>"100%"</formula>
    </cfRule>
  </conditionalFormatting>
  <conditionalFormatting sqref="L42:L49">
    <cfRule type="cellIs" dxfId="2" priority="9" operator="greaterThan">
      <formula>"100%"</formula>
    </cfRule>
  </conditionalFormatting>
  <conditionalFormatting sqref="L42:L49">
    <cfRule type="cellIs" dxfId="1" priority="10" operator="lessThan">
      <formula>"100%"</formula>
    </cfRule>
  </conditionalFormatting>
  <conditionalFormatting sqref="L42:L49">
    <cfRule type="cellIs" dxfId="0" priority="11" operator="equal">
      <formula>"100%"</formula>
    </cfRule>
  </conditionalFormatting>
  <dataValidations>
    <dataValidation type="list" allowBlank="1" showInputMessage="1" showErrorMessage="1" prompt="Nilai Tidak Valid - Silakan pilih nilai 1–5 dari dropdown." sqref="E81:E89 L81:L89">
      <formula1>"1,2,3,4,5"</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
    <col customWidth="1" min="2" max="2" width="32.14"/>
    <col customWidth="1" min="3" max="3" width="24.0"/>
    <col customWidth="1" min="4" max="4" width="24.43"/>
    <col customWidth="1" min="5" max="5" width="25.71"/>
    <col customWidth="1" min="6" max="6" width="18.0"/>
    <col customWidth="1" min="7" max="7" width="24.14"/>
    <col customWidth="1" min="8" max="8" width="6.57"/>
    <col customWidth="1" min="9" max="9" width="26.43"/>
    <col customWidth="1" min="10" max="10" width="16.86"/>
    <col customWidth="1" min="11" max="11" width="23.43"/>
    <col customWidth="1" min="12" max="12" width="20.14"/>
    <col customWidth="1" min="13" max="13" width="18.43"/>
    <col customWidth="1" min="14" max="14" width="19.86"/>
  </cols>
  <sheetData>
    <row r="1">
      <c r="A1" s="28"/>
      <c r="B1" s="28"/>
      <c r="C1" s="28"/>
      <c r="D1" s="28"/>
      <c r="E1" s="28"/>
      <c r="F1" s="28"/>
      <c r="G1" s="28"/>
    </row>
    <row r="2" ht="29.25" customHeight="1">
      <c r="A2" s="351"/>
      <c r="B2" s="352" t="s">
        <v>364</v>
      </c>
      <c r="C2" s="30"/>
      <c r="D2" s="30"/>
      <c r="E2" s="30"/>
      <c r="F2" s="30"/>
      <c r="G2" s="30"/>
      <c r="H2" s="30"/>
      <c r="I2" s="30"/>
      <c r="J2" s="30"/>
      <c r="K2" s="30"/>
      <c r="L2" s="30"/>
      <c r="M2" s="30"/>
      <c r="N2" s="3"/>
      <c r="O2" s="353"/>
      <c r="P2" s="353"/>
      <c r="Q2" s="353"/>
      <c r="R2" s="353"/>
      <c r="S2" s="353"/>
      <c r="T2" s="353"/>
      <c r="U2" s="353"/>
      <c r="V2" s="353"/>
      <c r="W2" s="353"/>
      <c r="X2" s="353"/>
      <c r="Y2" s="353"/>
      <c r="Z2" s="353"/>
    </row>
    <row r="3">
      <c r="A3" s="28"/>
      <c r="B3" s="133"/>
      <c r="C3" s="30"/>
      <c r="D3" s="30"/>
      <c r="E3" s="30"/>
      <c r="F3" s="30"/>
      <c r="G3" s="30"/>
      <c r="H3" s="30"/>
      <c r="I3" s="30"/>
      <c r="J3" s="30"/>
      <c r="K3" s="30"/>
      <c r="L3" s="30"/>
      <c r="M3" s="30"/>
      <c r="N3" s="3"/>
    </row>
    <row r="4">
      <c r="A4" s="28"/>
      <c r="B4" s="28"/>
      <c r="C4" s="28"/>
      <c r="D4" s="28"/>
      <c r="E4" s="28"/>
      <c r="F4" s="28"/>
      <c r="G4" s="28"/>
    </row>
    <row r="5" ht="27.75" customHeight="1">
      <c r="A5" s="142"/>
      <c r="B5" s="134" t="s">
        <v>146</v>
      </c>
      <c r="C5" s="27"/>
      <c r="D5" s="134" t="s">
        <v>147</v>
      </c>
      <c r="E5" s="27"/>
      <c r="F5" s="142"/>
      <c r="G5" s="142"/>
      <c r="H5" s="146"/>
      <c r="I5" s="146"/>
      <c r="J5" s="146"/>
      <c r="K5" s="146"/>
      <c r="L5" s="146"/>
      <c r="M5" s="146"/>
      <c r="N5" s="146"/>
      <c r="O5" s="146"/>
      <c r="P5" s="146"/>
      <c r="Q5" s="146"/>
      <c r="R5" s="146"/>
      <c r="S5" s="146"/>
      <c r="T5" s="146"/>
      <c r="U5" s="146"/>
      <c r="V5" s="146"/>
      <c r="W5" s="146"/>
      <c r="X5" s="146"/>
      <c r="Y5" s="146"/>
      <c r="Z5" s="146"/>
    </row>
    <row r="6">
      <c r="A6" s="28"/>
      <c r="B6" s="135" t="s">
        <v>148</v>
      </c>
      <c r="C6" s="136">
        <v>28.0</v>
      </c>
      <c r="D6" s="137" t="s">
        <v>149</v>
      </c>
      <c r="E6" s="138" t="s">
        <v>365</v>
      </c>
      <c r="F6" s="28"/>
      <c r="G6" s="28"/>
    </row>
    <row r="7">
      <c r="A7" s="28"/>
      <c r="B7" s="139" t="s">
        <v>150</v>
      </c>
      <c r="C7" s="136" t="s">
        <v>151</v>
      </c>
      <c r="D7" s="140" t="s">
        <v>152</v>
      </c>
      <c r="E7" s="138">
        <v>2200.0</v>
      </c>
      <c r="F7" s="28"/>
      <c r="G7" s="28"/>
    </row>
    <row r="8">
      <c r="A8" s="28"/>
      <c r="B8" s="135" t="s">
        <v>154</v>
      </c>
      <c r="C8" s="136">
        <v>68.0</v>
      </c>
      <c r="D8" s="137" t="s">
        <v>155</v>
      </c>
      <c r="E8" s="138" t="s">
        <v>366</v>
      </c>
      <c r="F8" s="28"/>
      <c r="G8" s="28"/>
    </row>
    <row r="9">
      <c r="A9" s="28"/>
      <c r="B9" s="139" t="s">
        <v>157</v>
      </c>
      <c r="C9" s="136">
        <v>178.0</v>
      </c>
      <c r="D9" s="140" t="s">
        <v>158</v>
      </c>
      <c r="E9" s="138" t="s">
        <v>367</v>
      </c>
      <c r="F9" s="28"/>
      <c r="G9" s="28"/>
    </row>
    <row r="10">
      <c r="A10" s="28"/>
      <c r="B10" s="135" t="s">
        <v>160</v>
      </c>
      <c r="C10" s="136" t="s">
        <v>161</v>
      </c>
      <c r="D10" s="137" t="s">
        <v>162</v>
      </c>
      <c r="E10" s="138" t="s">
        <v>368</v>
      </c>
      <c r="F10" s="28"/>
      <c r="G10" s="28"/>
    </row>
    <row r="11">
      <c r="A11" s="28"/>
      <c r="B11" s="139" t="s">
        <v>93</v>
      </c>
      <c r="C11" s="136" t="s">
        <v>369</v>
      </c>
      <c r="D11" s="140" t="s">
        <v>165</v>
      </c>
      <c r="E11" s="138" t="s">
        <v>370</v>
      </c>
      <c r="F11" s="28"/>
      <c r="G11" s="28"/>
    </row>
    <row r="12">
      <c r="A12" s="28"/>
      <c r="B12" s="141"/>
      <c r="C12" s="141"/>
      <c r="D12" s="137" t="s">
        <v>167</v>
      </c>
      <c r="E12" s="138" t="s">
        <v>168</v>
      </c>
      <c r="F12" s="28"/>
      <c r="G12" s="28"/>
    </row>
    <row r="13">
      <c r="A13" s="28"/>
      <c r="B13" s="28"/>
      <c r="C13" s="28"/>
      <c r="D13" s="28"/>
      <c r="E13" s="28"/>
      <c r="F13" s="28"/>
      <c r="G13" s="28"/>
    </row>
    <row r="14" ht="27.75" customHeight="1">
      <c r="A14" s="142"/>
      <c r="B14" s="143" t="s">
        <v>169</v>
      </c>
      <c r="C14" s="144"/>
      <c r="D14" s="144"/>
      <c r="E14" s="144"/>
      <c r="F14" s="144"/>
      <c r="G14" s="144"/>
      <c r="H14" s="144"/>
      <c r="I14" s="144"/>
      <c r="J14" s="144"/>
      <c r="K14" s="144"/>
      <c r="L14" s="144"/>
      <c r="M14" s="144"/>
      <c r="N14" s="145"/>
      <c r="O14" s="146"/>
      <c r="P14" s="146"/>
      <c r="Q14" s="146"/>
      <c r="R14" s="146"/>
      <c r="S14" s="146"/>
      <c r="T14" s="146"/>
      <c r="U14" s="146"/>
      <c r="V14" s="146"/>
      <c r="W14" s="146"/>
      <c r="X14" s="146"/>
      <c r="Y14" s="146"/>
      <c r="Z14" s="146"/>
    </row>
    <row r="15" ht="25.5" customHeight="1">
      <c r="A15" s="147"/>
      <c r="B15" s="148" t="s">
        <v>170</v>
      </c>
      <c r="C15" s="149"/>
      <c r="D15" s="149"/>
      <c r="E15" s="149"/>
      <c r="F15" s="149"/>
      <c r="G15" s="150"/>
      <c r="H15" s="151"/>
      <c r="I15" s="152" t="s">
        <v>171</v>
      </c>
      <c r="J15" s="149"/>
      <c r="K15" s="149"/>
      <c r="L15" s="149"/>
      <c r="M15" s="149"/>
      <c r="N15" s="150"/>
      <c r="O15" s="153"/>
      <c r="P15" s="153"/>
      <c r="Q15" s="153"/>
      <c r="R15" s="153"/>
      <c r="S15" s="153"/>
      <c r="T15" s="153"/>
      <c r="U15" s="153"/>
      <c r="V15" s="153"/>
      <c r="W15" s="153"/>
      <c r="X15" s="153"/>
      <c r="Y15" s="153"/>
      <c r="Z15" s="153"/>
    </row>
    <row r="16">
      <c r="A16" s="28"/>
      <c r="B16" s="154" t="s">
        <v>172</v>
      </c>
      <c r="C16" s="154" t="s">
        <v>173</v>
      </c>
      <c r="D16" s="154" t="s">
        <v>174</v>
      </c>
      <c r="E16" s="154" t="s">
        <v>175</v>
      </c>
      <c r="F16" s="155" t="s">
        <v>371</v>
      </c>
      <c r="G16" s="150"/>
      <c r="H16" s="156"/>
      <c r="I16" s="157" t="s">
        <v>172</v>
      </c>
      <c r="J16" s="157" t="s">
        <v>173</v>
      </c>
      <c r="K16" s="157" t="s">
        <v>174</v>
      </c>
      <c r="L16" s="157" t="s">
        <v>175</v>
      </c>
      <c r="M16" s="158" t="s">
        <v>371</v>
      </c>
      <c r="N16" s="150"/>
    </row>
    <row r="17">
      <c r="A17" s="28"/>
      <c r="B17" s="159" t="s">
        <v>176</v>
      </c>
      <c r="C17" s="165" t="s">
        <v>372</v>
      </c>
      <c r="D17" s="160">
        <v>113.0</v>
      </c>
      <c r="E17" s="161">
        <v>315.3</v>
      </c>
      <c r="F17" s="354"/>
      <c r="G17" s="163"/>
      <c r="H17" s="164"/>
      <c r="I17" s="159" t="s">
        <v>176</v>
      </c>
      <c r="J17" s="160" t="s">
        <v>373</v>
      </c>
      <c r="K17" s="160" t="s">
        <v>374</v>
      </c>
      <c r="L17" s="161" t="s">
        <v>375</v>
      </c>
      <c r="M17" s="169" t="s">
        <v>376</v>
      </c>
      <c r="N17" s="170"/>
    </row>
    <row r="18">
      <c r="A18" s="28"/>
      <c r="B18" s="166" t="s">
        <v>183</v>
      </c>
      <c r="C18" s="171" t="s">
        <v>377</v>
      </c>
      <c r="D18" s="167">
        <v>112.0</v>
      </c>
      <c r="E18" s="168">
        <v>44.8</v>
      </c>
      <c r="F18" s="172"/>
      <c r="G18" s="170"/>
      <c r="H18" s="164"/>
      <c r="I18" s="166" t="s">
        <v>183</v>
      </c>
      <c r="J18" s="167" t="s">
        <v>378</v>
      </c>
      <c r="K18" s="167" t="s">
        <v>379</v>
      </c>
      <c r="L18" s="168" t="s">
        <v>380</v>
      </c>
      <c r="M18" s="161" t="s">
        <v>381</v>
      </c>
      <c r="N18" s="355"/>
    </row>
    <row r="19">
      <c r="A19" s="28"/>
      <c r="B19" s="173" t="s">
        <v>190</v>
      </c>
      <c r="C19" s="171" t="s">
        <v>382</v>
      </c>
      <c r="D19" s="167">
        <v>112.0</v>
      </c>
      <c r="E19" s="168">
        <v>113.1</v>
      </c>
      <c r="F19" s="169" t="s">
        <v>383</v>
      </c>
      <c r="G19" s="170"/>
      <c r="H19" s="164"/>
      <c r="I19" s="173" t="s">
        <v>190</v>
      </c>
      <c r="J19" s="167" t="s">
        <v>382</v>
      </c>
      <c r="K19" s="167" t="s">
        <v>384</v>
      </c>
      <c r="L19" s="168">
        <v>101.0</v>
      </c>
      <c r="M19" s="169" t="s">
        <v>383</v>
      </c>
      <c r="N19" s="170"/>
    </row>
    <row r="20">
      <c r="A20" s="28"/>
      <c r="B20" s="174"/>
      <c r="C20" s="176"/>
      <c r="D20" s="175"/>
      <c r="E20" s="175"/>
      <c r="F20" s="176"/>
      <c r="G20" s="176"/>
      <c r="H20" s="164"/>
      <c r="I20" s="174"/>
      <c r="J20" s="175"/>
      <c r="K20" s="175"/>
      <c r="L20" s="175"/>
      <c r="M20" s="356"/>
      <c r="N20" s="357"/>
    </row>
    <row r="21">
      <c r="A21" s="28"/>
      <c r="B21" s="177" t="s">
        <v>196</v>
      </c>
      <c r="C21" s="171" t="s">
        <v>385</v>
      </c>
      <c r="D21" s="167">
        <v>246.0</v>
      </c>
      <c r="E21" s="168">
        <v>371.5</v>
      </c>
      <c r="F21" s="169" t="s">
        <v>386</v>
      </c>
      <c r="G21" s="170"/>
      <c r="H21" s="164"/>
      <c r="I21" s="177" t="s">
        <v>196</v>
      </c>
      <c r="J21" s="167" t="s">
        <v>387</v>
      </c>
      <c r="K21" s="167" t="s">
        <v>388</v>
      </c>
      <c r="L21" s="168" t="s">
        <v>389</v>
      </c>
      <c r="M21" s="169" t="s">
        <v>376</v>
      </c>
      <c r="N21" s="170"/>
    </row>
    <row r="22">
      <c r="A22" s="28"/>
      <c r="B22" s="178" t="s">
        <v>203</v>
      </c>
      <c r="C22" s="171" t="s">
        <v>184</v>
      </c>
      <c r="D22" s="167">
        <v>126.0</v>
      </c>
      <c r="E22" s="168">
        <v>223.0</v>
      </c>
      <c r="F22" s="172"/>
      <c r="G22" s="170"/>
      <c r="H22" s="164"/>
      <c r="I22" s="178" t="s">
        <v>203</v>
      </c>
      <c r="J22" s="167" t="s">
        <v>184</v>
      </c>
      <c r="K22" s="167" t="s">
        <v>390</v>
      </c>
      <c r="L22" s="168" t="s">
        <v>391</v>
      </c>
      <c r="M22" s="168" t="s">
        <v>381</v>
      </c>
      <c r="N22" s="355"/>
    </row>
    <row r="23">
      <c r="A23" s="28"/>
      <c r="B23" s="177" t="s">
        <v>211</v>
      </c>
      <c r="C23" s="171" t="s">
        <v>212</v>
      </c>
      <c r="D23" s="167">
        <v>111.0</v>
      </c>
      <c r="E23" s="168">
        <v>148.7</v>
      </c>
      <c r="F23" s="172"/>
      <c r="G23" s="170"/>
      <c r="H23" s="164"/>
      <c r="I23" s="177" t="s">
        <v>211</v>
      </c>
      <c r="J23" s="167" t="s">
        <v>382</v>
      </c>
      <c r="K23" s="167" t="s">
        <v>392</v>
      </c>
      <c r="L23" s="168" t="s">
        <v>393</v>
      </c>
      <c r="M23" s="169" t="s">
        <v>383</v>
      </c>
      <c r="N23" s="170"/>
    </row>
    <row r="24">
      <c r="A24" s="28"/>
      <c r="B24" s="174"/>
      <c r="C24" s="176"/>
      <c r="D24" s="175"/>
      <c r="E24" s="175"/>
      <c r="F24" s="176"/>
      <c r="G24" s="176"/>
      <c r="H24" s="164"/>
      <c r="I24" s="174"/>
      <c r="J24" s="175"/>
      <c r="K24" s="175"/>
      <c r="L24" s="175"/>
      <c r="M24" s="356"/>
      <c r="N24" s="357"/>
    </row>
    <row r="25">
      <c r="A25" s="28"/>
      <c r="B25" s="179" t="s">
        <v>216</v>
      </c>
      <c r="C25" s="171" t="s">
        <v>394</v>
      </c>
      <c r="D25" s="167">
        <v>123.0</v>
      </c>
      <c r="E25" s="168">
        <v>260.8</v>
      </c>
      <c r="F25" s="169" t="s">
        <v>376</v>
      </c>
      <c r="G25" s="170"/>
      <c r="H25" s="164"/>
      <c r="I25" s="179" t="s">
        <v>216</v>
      </c>
      <c r="J25" s="167" t="s">
        <v>395</v>
      </c>
      <c r="K25" s="167" t="s">
        <v>396</v>
      </c>
      <c r="L25" s="168" t="s">
        <v>397</v>
      </c>
      <c r="M25" s="168" t="s">
        <v>398</v>
      </c>
      <c r="N25" s="355"/>
    </row>
    <row r="26">
      <c r="A26" s="28"/>
      <c r="B26" s="180" t="s">
        <v>223</v>
      </c>
      <c r="C26" s="171" t="s">
        <v>399</v>
      </c>
      <c r="D26" s="167">
        <v>122.0</v>
      </c>
      <c r="E26" s="168">
        <v>118.3</v>
      </c>
      <c r="F26" s="169" t="s">
        <v>400</v>
      </c>
      <c r="G26" s="170"/>
      <c r="H26" s="164"/>
      <c r="I26" s="180" t="s">
        <v>223</v>
      </c>
      <c r="J26" s="167" t="s">
        <v>224</v>
      </c>
      <c r="K26" s="167" t="s">
        <v>401</v>
      </c>
      <c r="L26" s="168" t="s">
        <v>402</v>
      </c>
      <c r="M26" s="168"/>
      <c r="N26" s="355"/>
    </row>
    <row r="27">
      <c r="A27" s="28"/>
      <c r="B27" s="179" t="s">
        <v>229</v>
      </c>
      <c r="C27" s="171" t="s">
        <v>403</v>
      </c>
      <c r="D27" s="167">
        <v>122.0</v>
      </c>
      <c r="E27" s="168">
        <v>58.6</v>
      </c>
      <c r="F27" s="172"/>
      <c r="G27" s="170"/>
      <c r="H27" s="164"/>
      <c r="I27" s="179" t="s">
        <v>229</v>
      </c>
      <c r="J27" s="167" t="s">
        <v>193</v>
      </c>
      <c r="K27" s="167" t="s">
        <v>404</v>
      </c>
      <c r="L27" s="168">
        <v>122.0</v>
      </c>
      <c r="M27" s="168"/>
      <c r="N27" s="355"/>
    </row>
    <row r="28">
      <c r="A28" s="28"/>
      <c r="B28" s="174"/>
      <c r="C28" s="176"/>
      <c r="D28" s="175"/>
      <c r="E28" s="175"/>
      <c r="F28" s="176"/>
      <c r="G28" s="176"/>
      <c r="H28" s="164"/>
      <c r="I28" s="174"/>
      <c r="J28" s="175"/>
      <c r="K28" s="175"/>
      <c r="L28" s="175"/>
      <c r="M28" s="356"/>
      <c r="N28" s="357"/>
    </row>
    <row r="29">
      <c r="A29" s="28"/>
      <c r="B29" s="181" t="s">
        <v>234</v>
      </c>
      <c r="C29" s="171" t="s">
        <v>405</v>
      </c>
      <c r="D29" s="167">
        <v>127.0</v>
      </c>
      <c r="E29" s="168">
        <v>303.5</v>
      </c>
      <c r="F29" s="172"/>
      <c r="G29" s="170"/>
      <c r="H29" s="164"/>
      <c r="I29" s="181" t="s">
        <v>234</v>
      </c>
      <c r="J29" s="167" t="s">
        <v>406</v>
      </c>
      <c r="K29" s="167" t="s">
        <v>188</v>
      </c>
      <c r="L29" s="168" t="s">
        <v>407</v>
      </c>
      <c r="M29" s="168"/>
      <c r="N29" s="355"/>
    </row>
    <row r="30">
      <c r="A30" s="28"/>
      <c r="F30" s="28"/>
      <c r="G30" s="28"/>
    </row>
    <row r="31" ht="27.75" customHeight="1">
      <c r="A31" s="142"/>
      <c r="B31" s="182" t="s">
        <v>241</v>
      </c>
      <c r="C31" s="183"/>
      <c r="D31" s="183"/>
      <c r="E31" s="183"/>
      <c r="F31" s="183"/>
      <c r="G31" s="183"/>
      <c r="H31" s="183"/>
      <c r="I31" s="183"/>
      <c r="J31" s="183"/>
      <c r="K31" s="183"/>
      <c r="L31" s="183"/>
      <c r="M31" s="183"/>
      <c r="N31" s="184"/>
      <c r="O31" s="146"/>
      <c r="P31" s="146"/>
      <c r="Q31" s="146"/>
      <c r="R31" s="146"/>
      <c r="S31" s="146"/>
      <c r="T31" s="146"/>
      <c r="U31" s="146"/>
      <c r="V31" s="146"/>
      <c r="W31" s="146"/>
      <c r="X31" s="146"/>
      <c r="Y31" s="146"/>
      <c r="Z31" s="146"/>
    </row>
    <row r="32" ht="26.25" customHeight="1">
      <c r="A32" s="147"/>
      <c r="B32" s="237" t="s">
        <v>408</v>
      </c>
      <c r="C32" s="235"/>
      <c r="D32" s="235"/>
      <c r="E32" s="235"/>
      <c r="F32" s="235"/>
      <c r="G32" s="236"/>
      <c r="H32" s="185"/>
      <c r="I32" s="152" t="s">
        <v>242</v>
      </c>
      <c r="J32" s="149"/>
      <c r="K32" s="149"/>
      <c r="L32" s="149"/>
      <c r="M32" s="149"/>
      <c r="N32" s="150"/>
      <c r="O32" s="153"/>
      <c r="P32" s="153"/>
      <c r="Q32" s="153"/>
      <c r="R32" s="153"/>
      <c r="S32" s="153"/>
      <c r="T32" s="153"/>
      <c r="U32" s="153"/>
      <c r="V32" s="153"/>
      <c r="W32" s="153"/>
      <c r="X32" s="153"/>
      <c r="Y32" s="153"/>
      <c r="Z32" s="153"/>
    </row>
    <row r="33">
      <c r="A33" s="28"/>
      <c r="B33" s="358" t="s">
        <v>172</v>
      </c>
      <c r="C33" s="358" t="s">
        <v>175</v>
      </c>
      <c r="D33" s="358" t="s">
        <v>243</v>
      </c>
      <c r="E33" s="359" t="s">
        <v>244</v>
      </c>
      <c r="F33" s="360" t="s">
        <v>245</v>
      </c>
      <c r="G33" s="361" t="s">
        <v>244</v>
      </c>
      <c r="H33" s="190"/>
      <c r="I33" s="362" t="s">
        <v>172</v>
      </c>
      <c r="J33" s="362" t="s">
        <v>175</v>
      </c>
      <c r="K33" s="362" t="s">
        <v>243</v>
      </c>
      <c r="L33" s="362" t="s">
        <v>244</v>
      </c>
      <c r="M33" s="363" t="s">
        <v>245</v>
      </c>
      <c r="N33" s="364" t="s">
        <v>244</v>
      </c>
      <c r="O33" s="365"/>
      <c r="P33" s="365"/>
      <c r="Q33" s="365"/>
      <c r="R33" s="365"/>
      <c r="S33" s="365"/>
      <c r="T33" s="365"/>
      <c r="U33" s="365"/>
      <c r="V33" s="365"/>
      <c r="W33" s="365"/>
      <c r="X33" s="365"/>
      <c r="Y33" s="365"/>
      <c r="Z33" s="365"/>
    </row>
    <row r="34">
      <c r="A34" s="28"/>
      <c r="B34" s="193" t="s">
        <v>246</v>
      </c>
      <c r="C34" s="194" t="s">
        <v>409</v>
      </c>
      <c r="D34" s="366" t="s">
        <v>410</v>
      </c>
      <c r="E34" s="367" t="s">
        <v>248</v>
      </c>
      <c r="F34" s="197">
        <v>0.215</v>
      </c>
      <c r="G34" s="198"/>
      <c r="H34" s="164"/>
      <c r="I34" s="199" t="s">
        <v>246</v>
      </c>
      <c r="J34" s="200">
        <v>515.2</v>
      </c>
      <c r="K34" s="368">
        <v>0.2375</v>
      </c>
      <c r="L34" s="202" t="s">
        <v>248</v>
      </c>
      <c r="M34" s="203">
        <f t="shared" ref="M34:M37" si="1">J34/sum($J$34:$J$37)</f>
        <v>0.2407926715</v>
      </c>
      <c r="N34" s="198"/>
    </row>
    <row r="35">
      <c r="A35" s="28"/>
      <c r="B35" s="204" t="s">
        <v>249</v>
      </c>
      <c r="C35" s="205" t="s">
        <v>411</v>
      </c>
      <c r="D35" s="369" t="s">
        <v>412</v>
      </c>
      <c r="E35" s="212" t="s">
        <v>248</v>
      </c>
      <c r="F35" s="208">
        <v>0.338</v>
      </c>
      <c r="G35" s="209"/>
      <c r="H35" s="164"/>
      <c r="I35" s="204" t="s">
        <v>249</v>
      </c>
      <c r="J35" s="210">
        <v>715.0</v>
      </c>
      <c r="K35" s="206">
        <v>0.3375</v>
      </c>
      <c r="L35" s="212" t="s">
        <v>248</v>
      </c>
      <c r="M35" s="213">
        <f t="shared" si="1"/>
        <v>0.3341746121</v>
      </c>
      <c r="N35" s="209"/>
    </row>
    <row r="36">
      <c r="A36" s="28"/>
      <c r="B36" s="214" t="s">
        <v>251</v>
      </c>
      <c r="C36" s="215" t="s">
        <v>413</v>
      </c>
      <c r="D36" s="370" t="s">
        <v>414</v>
      </c>
      <c r="E36" s="222" t="s">
        <v>248</v>
      </c>
      <c r="F36" s="218">
        <v>0.199</v>
      </c>
      <c r="G36" s="219"/>
      <c r="H36" s="164"/>
      <c r="I36" s="214" t="s">
        <v>251</v>
      </c>
      <c r="J36" s="220">
        <v>605.2</v>
      </c>
      <c r="K36" s="216">
        <v>0.2875</v>
      </c>
      <c r="L36" s="222" t="s">
        <v>248</v>
      </c>
      <c r="M36" s="223">
        <f t="shared" si="1"/>
        <v>0.2828566087</v>
      </c>
      <c r="N36" s="219"/>
    </row>
    <row r="37">
      <c r="A37" s="28"/>
      <c r="B37" s="224" t="s">
        <v>253</v>
      </c>
      <c r="C37" s="225" t="s">
        <v>415</v>
      </c>
      <c r="D37" s="371" t="s">
        <v>416</v>
      </c>
      <c r="E37" s="232" t="s">
        <v>248</v>
      </c>
      <c r="F37" s="228">
        <v>0.138</v>
      </c>
      <c r="G37" s="229"/>
      <c r="H37" s="164"/>
      <c r="I37" s="224" t="s">
        <v>253</v>
      </c>
      <c r="J37" s="230">
        <v>304.2</v>
      </c>
      <c r="K37" s="226">
        <v>0.1375</v>
      </c>
      <c r="L37" s="232" t="s">
        <v>248</v>
      </c>
      <c r="M37" s="233">
        <f t="shared" si="1"/>
        <v>0.1421761077</v>
      </c>
      <c r="N37" s="229"/>
    </row>
    <row r="38">
      <c r="A38" s="28"/>
      <c r="B38" s="28"/>
      <c r="C38" s="28"/>
      <c r="D38" s="28"/>
      <c r="E38" s="28"/>
      <c r="F38" s="28"/>
      <c r="G38" s="28"/>
    </row>
    <row r="39" ht="27.75" customHeight="1">
      <c r="A39" s="142"/>
      <c r="B39" s="234" t="s">
        <v>255</v>
      </c>
      <c r="C39" s="235"/>
      <c r="D39" s="235"/>
      <c r="E39" s="235"/>
      <c r="F39" s="235"/>
      <c r="G39" s="235"/>
      <c r="H39" s="235"/>
      <c r="I39" s="235"/>
      <c r="J39" s="235"/>
      <c r="K39" s="235"/>
      <c r="L39" s="235"/>
      <c r="M39" s="235"/>
      <c r="N39" s="236"/>
      <c r="O39" s="146"/>
      <c r="P39" s="146"/>
      <c r="Q39" s="146"/>
      <c r="R39" s="146"/>
      <c r="S39" s="146"/>
      <c r="T39" s="146"/>
      <c r="U39" s="146"/>
      <c r="V39" s="146"/>
      <c r="W39" s="146"/>
      <c r="X39" s="146"/>
      <c r="Y39" s="146"/>
      <c r="Z39" s="146"/>
    </row>
    <row r="40" ht="25.5" customHeight="1">
      <c r="A40" s="147"/>
      <c r="B40" s="237" t="s">
        <v>256</v>
      </c>
      <c r="C40" s="235"/>
      <c r="D40" s="235"/>
      <c r="E40" s="235"/>
      <c r="F40" s="235"/>
      <c r="G40" s="236"/>
      <c r="H40" s="185"/>
      <c r="I40" s="152" t="s">
        <v>257</v>
      </c>
      <c r="J40" s="149"/>
      <c r="K40" s="149"/>
      <c r="L40" s="149"/>
      <c r="M40" s="149"/>
      <c r="N40" s="150"/>
      <c r="O40" s="153"/>
      <c r="P40" s="153"/>
      <c r="Q40" s="153"/>
      <c r="R40" s="153"/>
      <c r="S40" s="153"/>
      <c r="T40" s="153"/>
      <c r="U40" s="153"/>
      <c r="V40" s="153"/>
      <c r="W40" s="153"/>
      <c r="X40" s="153"/>
      <c r="Y40" s="153"/>
      <c r="Z40" s="153"/>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28"/>
      <c r="B42" s="242" t="s">
        <v>262</v>
      </c>
      <c r="C42" s="243" t="s">
        <v>366</v>
      </c>
      <c r="D42" s="243">
        <v>1957.6</v>
      </c>
      <c r="E42" s="372">
        <v>1.0</v>
      </c>
      <c r="F42" s="245"/>
      <c r="G42" s="235"/>
      <c r="H42" s="164"/>
      <c r="I42" s="242" t="s">
        <v>262</v>
      </c>
      <c r="J42" s="243" t="s">
        <v>366</v>
      </c>
      <c r="K42" s="243">
        <v>2139.6</v>
      </c>
      <c r="L42" s="246">
        <v>1.0</v>
      </c>
      <c r="M42" s="245"/>
      <c r="N42" s="235"/>
    </row>
    <row r="43">
      <c r="A43" s="28"/>
      <c r="B43" s="242" t="s">
        <v>158</v>
      </c>
      <c r="C43" s="243" t="s">
        <v>367</v>
      </c>
      <c r="D43" s="243">
        <v>69.18</v>
      </c>
      <c r="E43" s="372">
        <v>1.0</v>
      </c>
      <c r="F43" s="245"/>
      <c r="G43" s="235"/>
      <c r="H43" s="164"/>
      <c r="I43" s="242" t="s">
        <v>158</v>
      </c>
      <c r="J43" s="243" t="s">
        <v>367</v>
      </c>
      <c r="K43" s="243">
        <v>64.3</v>
      </c>
      <c r="L43" s="246">
        <v>0.975</v>
      </c>
      <c r="M43" s="245"/>
      <c r="N43" s="235"/>
    </row>
    <row r="44">
      <c r="A44" s="28"/>
      <c r="B44" s="242" t="s">
        <v>263</v>
      </c>
      <c r="C44" s="243" t="s">
        <v>368</v>
      </c>
      <c r="D44" s="243">
        <v>63.25</v>
      </c>
      <c r="E44" s="372">
        <v>1.0</v>
      </c>
      <c r="F44" s="245"/>
      <c r="G44" s="235"/>
      <c r="H44" s="164"/>
      <c r="I44" s="242" t="s">
        <v>263</v>
      </c>
      <c r="J44" s="243" t="s">
        <v>368</v>
      </c>
      <c r="K44" s="243">
        <v>61.6</v>
      </c>
      <c r="L44" s="246">
        <v>1.0</v>
      </c>
      <c r="M44" s="245"/>
      <c r="N44" s="235"/>
    </row>
    <row r="45">
      <c r="A45" s="28"/>
      <c r="B45" s="242" t="s">
        <v>264</v>
      </c>
      <c r="C45" s="243" t="s">
        <v>370</v>
      </c>
      <c r="D45" s="243">
        <v>282.74</v>
      </c>
      <c r="E45" s="372">
        <v>1.0</v>
      </c>
      <c r="F45" s="245"/>
      <c r="G45" s="235"/>
      <c r="H45" s="164"/>
      <c r="I45" s="242" t="s">
        <v>264</v>
      </c>
      <c r="J45" s="243" t="s">
        <v>370</v>
      </c>
      <c r="K45" s="243">
        <v>336.3</v>
      </c>
      <c r="L45" s="246">
        <f>K45/303.2</f>
        <v>1.109168865</v>
      </c>
      <c r="M45" s="245"/>
      <c r="N45" s="235"/>
    </row>
    <row r="46">
      <c r="A46" s="28"/>
      <c r="B46" s="242" t="s">
        <v>265</v>
      </c>
      <c r="C46" s="243" t="s">
        <v>417</v>
      </c>
      <c r="D46" s="243">
        <v>2265.47</v>
      </c>
      <c r="E46" s="372">
        <v>1.0</v>
      </c>
      <c r="F46" s="245"/>
      <c r="G46" s="235"/>
      <c r="H46" s="164"/>
      <c r="I46" s="242" t="s">
        <v>265</v>
      </c>
      <c r="J46" s="243" t="s">
        <v>417</v>
      </c>
      <c r="K46" s="243">
        <v>1902.2</v>
      </c>
      <c r="L46" s="246">
        <v>1.0</v>
      </c>
      <c r="M46" s="245"/>
      <c r="N46" s="235"/>
    </row>
    <row r="47">
      <c r="A47" s="28"/>
      <c r="B47" s="242" t="s">
        <v>267</v>
      </c>
      <c r="C47" s="243" t="s">
        <v>418</v>
      </c>
      <c r="D47" s="243">
        <v>23.9</v>
      </c>
      <c r="E47" s="372">
        <v>1.0</v>
      </c>
      <c r="F47" s="245"/>
      <c r="G47" s="235"/>
      <c r="H47" s="164"/>
      <c r="I47" s="242" t="s">
        <v>267</v>
      </c>
      <c r="J47" s="243" t="s">
        <v>418</v>
      </c>
      <c r="K47" s="243">
        <v>9.7</v>
      </c>
      <c r="L47" s="246">
        <v>1.0</v>
      </c>
      <c r="M47" s="245"/>
      <c r="N47" s="235"/>
    </row>
    <row r="48">
      <c r="A48" s="28"/>
      <c r="B48" s="242" t="s">
        <v>269</v>
      </c>
      <c r="C48" s="243" t="s">
        <v>270</v>
      </c>
      <c r="D48" s="243">
        <v>110.86</v>
      </c>
      <c r="E48" s="372">
        <v>1.0</v>
      </c>
      <c r="F48" s="245"/>
      <c r="G48" s="235"/>
      <c r="H48" s="164"/>
      <c r="I48" s="242" t="s">
        <v>269</v>
      </c>
      <c r="J48" s="243" t="s">
        <v>270</v>
      </c>
      <c r="K48" s="243">
        <v>71.4</v>
      </c>
      <c r="L48" s="246">
        <v>1.0</v>
      </c>
      <c r="M48" s="245"/>
      <c r="N48" s="235"/>
    </row>
    <row r="49">
      <c r="A49" s="28"/>
      <c r="B49" s="242" t="s">
        <v>313</v>
      </c>
      <c r="C49" s="243" t="s">
        <v>419</v>
      </c>
      <c r="D49" s="243">
        <v>25.1</v>
      </c>
      <c r="E49" s="372">
        <v>1.0</v>
      </c>
      <c r="F49" s="245"/>
      <c r="G49" s="235"/>
      <c r="H49" s="373"/>
      <c r="I49" s="242" t="s">
        <v>313</v>
      </c>
      <c r="J49" s="243" t="s">
        <v>419</v>
      </c>
      <c r="K49" s="243">
        <v>26.9</v>
      </c>
      <c r="L49" s="246">
        <v>1.0</v>
      </c>
      <c r="M49" s="245"/>
      <c r="N49" s="235"/>
    </row>
    <row r="50">
      <c r="A50" s="28"/>
      <c r="B50" s="242" t="s">
        <v>420</v>
      </c>
      <c r="C50" s="243" t="s">
        <v>421</v>
      </c>
      <c r="D50" s="243">
        <v>84.03</v>
      </c>
      <c r="E50" s="372">
        <v>1.0</v>
      </c>
      <c r="F50" s="245"/>
      <c r="G50" s="235"/>
      <c r="H50" s="373"/>
      <c r="I50" s="242" t="s">
        <v>420</v>
      </c>
      <c r="J50" s="243" t="s">
        <v>421</v>
      </c>
      <c r="K50" s="243">
        <v>27.4</v>
      </c>
      <c r="L50" s="246">
        <v>0.365</v>
      </c>
      <c r="M50" s="245"/>
      <c r="N50" s="235"/>
    </row>
    <row r="51">
      <c r="A51" s="28"/>
      <c r="B51" s="242" t="s">
        <v>422</v>
      </c>
      <c r="C51" s="243" t="s">
        <v>423</v>
      </c>
      <c r="D51" s="243">
        <v>0.84</v>
      </c>
      <c r="E51" s="372">
        <v>1.0</v>
      </c>
      <c r="F51" s="245"/>
      <c r="G51" s="235"/>
      <c r="H51" s="373"/>
      <c r="I51" s="242" t="s">
        <v>422</v>
      </c>
      <c r="J51" s="243" t="s">
        <v>423</v>
      </c>
      <c r="K51" s="243">
        <v>0.2</v>
      </c>
      <c r="L51" s="246">
        <v>0.227</v>
      </c>
      <c r="M51" s="245"/>
      <c r="N51" s="235"/>
    </row>
    <row r="52">
      <c r="A52" s="28"/>
      <c r="B52" s="242" t="s">
        <v>424</v>
      </c>
      <c r="C52" s="243">
        <v>1.3</v>
      </c>
      <c r="D52" s="243">
        <v>1.91</v>
      </c>
      <c r="E52" s="372">
        <v>1.0</v>
      </c>
      <c r="F52" s="245"/>
      <c r="G52" s="235"/>
      <c r="H52" s="373"/>
      <c r="I52" s="242" t="s">
        <v>424</v>
      </c>
      <c r="J52" s="243">
        <v>1.3</v>
      </c>
      <c r="K52" s="243">
        <v>1.9</v>
      </c>
      <c r="L52" s="246">
        <v>1.0</v>
      </c>
      <c r="M52" s="245"/>
      <c r="N52" s="235"/>
    </row>
    <row r="53">
      <c r="A53" s="28"/>
      <c r="B53" s="242" t="s">
        <v>425</v>
      </c>
      <c r="C53" s="243">
        <v>0.0024</v>
      </c>
      <c r="D53" s="243">
        <v>0.0</v>
      </c>
      <c r="E53" s="372">
        <v>0.0</v>
      </c>
      <c r="F53" s="245"/>
      <c r="G53" s="235"/>
      <c r="H53" s="373"/>
      <c r="I53" s="242" t="s">
        <v>425</v>
      </c>
      <c r="J53" s="243">
        <v>0.0024</v>
      </c>
      <c r="K53" s="243">
        <v>0.0043</v>
      </c>
      <c r="L53" s="246">
        <v>1.0</v>
      </c>
      <c r="M53" s="245"/>
      <c r="N53" s="235"/>
    </row>
    <row r="54">
      <c r="A54" s="28"/>
      <c r="B54" s="242" t="s">
        <v>299</v>
      </c>
      <c r="C54" s="243" t="s">
        <v>426</v>
      </c>
      <c r="D54" s="243">
        <v>14.26</v>
      </c>
      <c r="E54" s="372">
        <v>1.0</v>
      </c>
      <c r="F54" s="245"/>
      <c r="G54" s="235"/>
      <c r="H54" s="373"/>
      <c r="I54" s="242" t="s">
        <v>299</v>
      </c>
      <c r="J54" s="243" t="s">
        <v>426</v>
      </c>
      <c r="K54" s="243">
        <v>15.7</v>
      </c>
      <c r="L54" s="246">
        <v>1.0</v>
      </c>
      <c r="M54" s="245"/>
      <c r="N54" s="235"/>
    </row>
    <row r="55">
      <c r="A55" s="28"/>
      <c r="B55" s="242" t="s">
        <v>427</v>
      </c>
      <c r="C55" s="243" t="s">
        <v>428</v>
      </c>
      <c r="D55" s="243">
        <v>8.56</v>
      </c>
      <c r="E55" s="372">
        <v>1.0</v>
      </c>
      <c r="F55" s="245"/>
      <c r="G55" s="235"/>
      <c r="H55" s="373"/>
      <c r="I55" s="242" t="s">
        <v>427</v>
      </c>
      <c r="J55" s="243" t="s">
        <v>428</v>
      </c>
      <c r="K55" s="243">
        <v>7.8</v>
      </c>
      <c r="L55" s="246">
        <v>0.974</v>
      </c>
      <c r="M55" s="245"/>
      <c r="N55" s="235"/>
    </row>
    <row r="56">
      <c r="A56" s="28"/>
      <c r="B56" s="242" t="s">
        <v>297</v>
      </c>
      <c r="C56" s="243" t="s">
        <v>429</v>
      </c>
      <c r="D56" s="243">
        <v>997.44</v>
      </c>
      <c r="E56" s="372">
        <v>1.0</v>
      </c>
      <c r="F56" s="245"/>
      <c r="G56" s="235"/>
      <c r="H56" s="373"/>
      <c r="I56" s="242" t="s">
        <v>297</v>
      </c>
      <c r="J56" s="243" t="s">
        <v>429</v>
      </c>
      <c r="K56" s="243">
        <v>631.3</v>
      </c>
      <c r="L56" s="246">
        <v>0.665</v>
      </c>
      <c r="M56" s="245"/>
      <c r="N56" s="235"/>
    </row>
    <row r="57">
      <c r="A57" s="28"/>
      <c r="B57" s="242" t="s">
        <v>304</v>
      </c>
      <c r="C57" s="243" t="s">
        <v>430</v>
      </c>
      <c r="D57" s="243">
        <v>3310.01</v>
      </c>
      <c r="E57" s="372">
        <v>1.0</v>
      </c>
      <c r="F57" s="245"/>
      <c r="G57" s="235"/>
      <c r="H57" s="373"/>
      <c r="I57" s="242" t="s">
        <v>304</v>
      </c>
      <c r="J57" s="243" t="s">
        <v>430</v>
      </c>
      <c r="K57" s="243">
        <v>2292.4</v>
      </c>
      <c r="L57" s="246">
        <v>0.882</v>
      </c>
      <c r="M57" s="245"/>
      <c r="N57" s="235"/>
    </row>
    <row r="58">
      <c r="A58" s="28"/>
      <c r="B58" s="242" t="s">
        <v>271</v>
      </c>
      <c r="C58" s="243" t="s">
        <v>431</v>
      </c>
      <c r="D58" s="243">
        <v>14.72</v>
      </c>
      <c r="E58" s="372">
        <v>1.0</v>
      </c>
      <c r="F58" s="245"/>
      <c r="G58" s="235"/>
      <c r="H58" s="373"/>
      <c r="I58" s="242" t="s">
        <v>271</v>
      </c>
      <c r="J58" s="243" t="s">
        <v>431</v>
      </c>
      <c r="K58" s="243">
        <v>17.2</v>
      </c>
      <c r="L58" s="246">
        <v>1.0</v>
      </c>
      <c r="M58" s="245"/>
      <c r="N58" s="235"/>
    </row>
    <row r="59">
      <c r="A59" s="28"/>
      <c r="B59" s="28"/>
      <c r="C59" s="374"/>
      <c r="D59" s="374"/>
      <c r="E59" s="375"/>
      <c r="F59" s="28"/>
      <c r="G59" s="28"/>
    </row>
    <row r="60" ht="27.75" customHeight="1">
      <c r="A60" s="142"/>
      <c r="B60" s="234" t="s">
        <v>273</v>
      </c>
      <c r="C60" s="235"/>
      <c r="D60" s="235"/>
      <c r="E60" s="235"/>
      <c r="F60" s="235"/>
      <c r="G60" s="235"/>
      <c r="H60" s="235"/>
      <c r="I60" s="235"/>
      <c r="J60" s="235"/>
      <c r="K60" s="235"/>
      <c r="L60" s="235"/>
      <c r="M60" s="235"/>
      <c r="N60" s="236"/>
      <c r="O60" s="146"/>
      <c r="P60" s="146"/>
      <c r="Q60" s="146"/>
      <c r="R60" s="146"/>
      <c r="S60" s="146"/>
      <c r="T60" s="146"/>
      <c r="U60" s="146"/>
      <c r="V60" s="146"/>
      <c r="W60" s="146"/>
      <c r="X60" s="146"/>
      <c r="Y60" s="146"/>
      <c r="Z60" s="146"/>
    </row>
    <row r="61" ht="25.5" customHeight="1">
      <c r="A61" s="147"/>
      <c r="B61" s="237" t="s">
        <v>274</v>
      </c>
      <c r="C61" s="235"/>
      <c r="D61" s="235"/>
      <c r="E61" s="235"/>
      <c r="F61" s="235"/>
      <c r="G61" s="236"/>
      <c r="H61" s="185"/>
      <c r="I61" s="152" t="s">
        <v>275</v>
      </c>
      <c r="J61" s="149"/>
      <c r="K61" s="149"/>
      <c r="L61" s="149"/>
      <c r="M61" s="149"/>
      <c r="N61" s="150"/>
      <c r="O61" s="153"/>
      <c r="P61" s="153"/>
      <c r="Q61" s="153"/>
      <c r="R61" s="153"/>
      <c r="S61" s="153"/>
      <c r="T61" s="153"/>
      <c r="U61" s="153"/>
      <c r="V61" s="153"/>
      <c r="W61" s="153"/>
      <c r="X61" s="153"/>
      <c r="Y61" s="153"/>
      <c r="Z61" s="153"/>
    </row>
    <row r="62">
      <c r="A62" s="28"/>
      <c r="B62" s="238" t="s">
        <v>258</v>
      </c>
      <c r="C62" s="238" t="s">
        <v>276</v>
      </c>
      <c r="D62" s="238" t="s">
        <v>260</v>
      </c>
      <c r="E62" s="376" t="s">
        <v>261</v>
      </c>
      <c r="F62" s="251" t="s">
        <v>244</v>
      </c>
      <c r="G62" s="252"/>
      <c r="H62" s="190"/>
      <c r="I62" s="239" t="s">
        <v>258</v>
      </c>
      <c r="J62" s="239" t="s">
        <v>276</v>
      </c>
      <c r="K62" s="239" t="s">
        <v>260</v>
      </c>
      <c r="L62" s="240" t="s">
        <v>261</v>
      </c>
      <c r="M62" s="241"/>
      <c r="N62" s="150"/>
    </row>
    <row r="63">
      <c r="A63" s="28"/>
      <c r="B63" s="377" t="s">
        <v>282</v>
      </c>
      <c r="C63" s="243" t="s">
        <v>283</v>
      </c>
      <c r="D63" s="243">
        <v>0.0</v>
      </c>
      <c r="E63" s="372">
        <v>0.0</v>
      </c>
      <c r="F63" s="255"/>
      <c r="G63" s="256"/>
      <c r="H63" s="164"/>
      <c r="I63" s="377" t="s">
        <v>282</v>
      </c>
      <c r="J63" s="243" t="s">
        <v>283</v>
      </c>
      <c r="K63" s="243">
        <v>0.0</v>
      </c>
      <c r="L63" s="246">
        <v>0.0</v>
      </c>
      <c r="M63" s="255"/>
      <c r="N63" s="256"/>
    </row>
    <row r="64">
      <c r="A64" s="28"/>
      <c r="B64" s="377" t="s">
        <v>284</v>
      </c>
      <c r="C64" s="243" t="s">
        <v>285</v>
      </c>
      <c r="D64" s="243">
        <v>5.1</v>
      </c>
      <c r="E64" s="372">
        <v>0.34</v>
      </c>
      <c r="F64" s="245"/>
      <c r="G64" s="235"/>
      <c r="H64" s="164"/>
      <c r="I64" s="377" t="s">
        <v>284</v>
      </c>
      <c r="J64" s="243" t="s">
        <v>285</v>
      </c>
      <c r="K64" s="243">
        <v>5.5</v>
      </c>
      <c r="L64" s="246">
        <v>0.369</v>
      </c>
      <c r="M64" s="245"/>
      <c r="N64" s="235"/>
    </row>
    <row r="65">
      <c r="A65" s="28"/>
      <c r="B65" s="377" t="s">
        <v>286</v>
      </c>
      <c r="C65" s="243">
        <v>0.1</v>
      </c>
      <c r="D65" s="243">
        <v>0.07</v>
      </c>
      <c r="E65" s="372">
        <v>0.5833333</v>
      </c>
      <c r="F65" s="245"/>
      <c r="G65" s="235"/>
      <c r="H65" s="164"/>
      <c r="I65" s="377" t="s">
        <v>286</v>
      </c>
      <c r="J65" s="243">
        <v>0.1</v>
      </c>
      <c r="K65" s="243">
        <v>0.0252</v>
      </c>
      <c r="L65" s="246">
        <v>0.21</v>
      </c>
      <c r="M65" s="245"/>
      <c r="N65" s="235"/>
    </row>
    <row r="66">
      <c r="A66" s="28"/>
      <c r="B66" s="377" t="s">
        <v>287</v>
      </c>
      <c r="C66" s="243">
        <v>1.2</v>
      </c>
      <c r="D66" s="243">
        <v>1.45</v>
      </c>
      <c r="E66" s="372">
        <v>1.0</v>
      </c>
      <c r="F66" s="245"/>
      <c r="G66" s="235"/>
      <c r="H66" s="164"/>
      <c r="I66" s="377" t="s">
        <v>287</v>
      </c>
      <c r="J66" s="243">
        <v>1.2</v>
      </c>
      <c r="K66" s="243">
        <v>1.5</v>
      </c>
      <c r="L66" s="246">
        <v>1.0</v>
      </c>
      <c r="M66" s="245"/>
      <c r="N66" s="235"/>
    </row>
    <row r="67">
      <c r="A67" s="28"/>
      <c r="B67" s="377" t="s">
        <v>288</v>
      </c>
      <c r="C67" s="243">
        <v>1.3</v>
      </c>
      <c r="D67" s="243">
        <v>1.5</v>
      </c>
      <c r="E67" s="372">
        <v>1.0</v>
      </c>
      <c r="F67" s="245"/>
      <c r="G67" s="235"/>
      <c r="H67" s="164"/>
      <c r="I67" s="377" t="s">
        <v>288</v>
      </c>
      <c r="J67" s="243">
        <v>1.3</v>
      </c>
      <c r="K67" s="243">
        <v>1.2</v>
      </c>
      <c r="L67" s="246">
        <v>0.946</v>
      </c>
      <c r="M67" s="245"/>
      <c r="N67" s="235"/>
    </row>
    <row r="68">
      <c r="A68" s="28"/>
      <c r="B68" s="377" t="s">
        <v>289</v>
      </c>
      <c r="C68" s="243" t="s">
        <v>290</v>
      </c>
      <c r="D68" s="243">
        <v>16.54</v>
      </c>
      <c r="E68" s="372">
        <v>1.0</v>
      </c>
      <c r="F68" s="245"/>
      <c r="G68" s="235"/>
      <c r="H68" s="164"/>
      <c r="I68" s="377" t="s">
        <v>289</v>
      </c>
      <c r="J68" s="243" t="s">
        <v>290</v>
      </c>
      <c r="K68" s="243">
        <v>20.2</v>
      </c>
      <c r="L68" s="246">
        <v>1.0</v>
      </c>
      <c r="M68" s="245"/>
      <c r="N68" s="235"/>
    </row>
    <row r="69">
      <c r="A69" s="28"/>
      <c r="B69" s="377" t="s">
        <v>291</v>
      </c>
      <c r="C69" s="243">
        <v>5.0</v>
      </c>
      <c r="D69" s="243">
        <v>4.51</v>
      </c>
      <c r="E69" s="372">
        <v>0.902</v>
      </c>
      <c r="F69" s="245"/>
      <c r="G69" s="235"/>
      <c r="H69" s="164"/>
      <c r="I69" s="377" t="s">
        <v>291</v>
      </c>
      <c r="J69" s="243">
        <v>5.0</v>
      </c>
      <c r="K69" s="243">
        <v>4.0</v>
      </c>
      <c r="L69" s="246">
        <v>0.808</v>
      </c>
      <c r="M69" s="245"/>
      <c r="N69" s="235"/>
    </row>
    <row r="70">
      <c r="A70" s="28"/>
      <c r="B70" s="377" t="s">
        <v>294</v>
      </c>
      <c r="C70" s="243" t="s">
        <v>295</v>
      </c>
      <c r="D70" s="243">
        <v>0.43</v>
      </c>
      <c r="E70" s="372">
        <v>0.86</v>
      </c>
      <c r="F70" s="245"/>
      <c r="G70" s="235"/>
      <c r="H70" s="164"/>
      <c r="I70" s="377" t="s">
        <v>294</v>
      </c>
      <c r="J70" s="243" t="s">
        <v>295</v>
      </c>
      <c r="K70" s="243">
        <v>0.4</v>
      </c>
      <c r="L70" s="246">
        <v>0.756</v>
      </c>
      <c r="M70" s="245"/>
      <c r="N70" s="235"/>
    </row>
    <row r="71">
      <c r="A71" s="28"/>
      <c r="B71" s="377" t="s">
        <v>301</v>
      </c>
      <c r="C71" s="243">
        <v>400.0</v>
      </c>
      <c r="D71" s="243">
        <v>417.59</v>
      </c>
      <c r="E71" s="372">
        <v>1.0</v>
      </c>
      <c r="F71" s="245"/>
      <c r="G71" s="235"/>
      <c r="H71" s="164"/>
      <c r="I71" s="377" t="s">
        <v>301</v>
      </c>
      <c r="J71" s="243">
        <v>400.0</v>
      </c>
      <c r="K71" s="243">
        <v>293.2</v>
      </c>
      <c r="L71" s="246">
        <v>0.733</v>
      </c>
      <c r="M71" s="245"/>
      <c r="N71" s="235"/>
    </row>
    <row r="72">
      <c r="A72" s="28"/>
      <c r="B72" s="377" t="s">
        <v>302</v>
      </c>
      <c r="C72" s="243" t="s">
        <v>303</v>
      </c>
      <c r="D72" s="243">
        <v>1320.1</v>
      </c>
      <c r="E72" s="372">
        <v>1.0</v>
      </c>
      <c r="F72" s="245"/>
      <c r="G72" s="235"/>
      <c r="H72" s="164"/>
      <c r="I72" s="377" t="s">
        <v>302</v>
      </c>
      <c r="J72" s="243" t="s">
        <v>303</v>
      </c>
      <c r="K72" s="243">
        <v>1289.6</v>
      </c>
      <c r="L72" s="246">
        <v>1.0</v>
      </c>
      <c r="M72" s="245"/>
      <c r="N72" s="235"/>
    </row>
    <row r="73">
      <c r="A73" s="28"/>
      <c r="B73" s="377" t="s">
        <v>307</v>
      </c>
      <c r="C73" s="243" t="s">
        <v>308</v>
      </c>
      <c r="D73" s="243">
        <v>1.63</v>
      </c>
      <c r="E73" s="372">
        <v>1.0</v>
      </c>
      <c r="F73" s="245"/>
      <c r="G73" s="235"/>
      <c r="H73" s="164"/>
      <c r="I73" s="377" t="s">
        <v>307</v>
      </c>
      <c r="J73" s="243" t="s">
        <v>308</v>
      </c>
      <c r="K73" s="243">
        <v>1.6</v>
      </c>
      <c r="L73" s="246">
        <v>1.0</v>
      </c>
      <c r="M73" s="245"/>
      <c r="N73" s="235"/>
    </row>
    <row r="74">
      <c r="A74" s="28"/>
      <c r="B74" s="377" t="s">
        <v>309</v>
      </c>
      <c r="C74" s="243" t="s">
        <v>310</v>
      </c>
      <c r="D74" s="243">
        <v>5.35</v>
      </c>
      <c r="E74" s="372">
        <v>1.0</v>
      </c>
      <c r="F74" s="245"/>
      <c r="G74" s="235"/>
      <c r="H74" s="164"/>
      <c r="I74" s="377" t="s">
        <v>309</v>
      </c>
      <c r="J74" s="243" t="s">
        <v>310</v>
      </c>
      <c r="K74" s="243">
        <v>3.6</v>
      </c>
      <c r="L74" s="246">
        <v>1.0</v>
      </c>
      <c r="M74" s="245"/>
      <c r="N74" s="235"/>
    </row>
    <row r="75">
      <c r="A75" s="28"/>
      <c r="B75" s="377" t="s">
        <v>311</v>
      </c>
      <c r="C75" s="243" t="s">
        <v>312</v>
      </c>
      <c r="D75" s="243">
        <v>0.06</v>
      </c>
      <c r="E75" s="372">
        <v>1.0</v>
      </c>
      <c r="F75" s="245"/>
      <c r="G75" s="235"/>
      <c r="H75" s="373"/>
      <c r="I75" s="377" t="s">
        <v>311</v>
      </c>
      <c r="J75" s="243" t="s">
        <v>312</v>
      </c>
      <c r="K75" s="243">
        <v>0.0641</v>
      </c>
      <c r="L75" s="246">
        <v>1.0</v>
      </c>
      <c r="M75" s="245"/>
      <c r="N75" s="235"/>
    </row>
    <row r="76">
      <c r="A76" s="28"/>
      <c r="B76" s="377" t="s">
        <v>167</v>
      </c>
      <c r="C76" s="243">
        <v>3700.0</v>
      </c>
      <c r="D76" s="243">
        <v>882.46</v>
      </c>
      <c r="E76" s="372">
        <v>0.2385027</v>
      </c>
      <c r="F76" s="245"/>
      <c r="G76" s="235"/>
      <c r="H76" s="373"/>
      <c r="I76" s="377" t="s">
        <v>167</v>
      </c>
      <c r="J76" s="243">
        <v>3700.0</v>
      </c>
      <c r="K76" s="243">
        <v>696.7</v>
      </c>
      <c r="L76" s="246">
        <v>0.188</v>
      </c>
      <c r="M76" s="245"/>
      <c r="N76" s="235"/>
    </row>
    <row r="77">
      <c r="A77" s="28"/>
    </row>
    <row r="78" ht="27.75" customHeight="1">
      <c r="A78" s="142"/>
      <c r="B78" s="261" t="s">
        <v>314</v>
      </c>
      <c r="C78" s="262"/>
      <c r="D78" s="262"/>
      <c r="E78" s="262"/>
      <c r="F78" s="262"/>
      <c r="G78" s="262"/>
      <c r="H78" s="262"/>
      <c r="I78" s="262"/>
      <c r="J78" s="262"/>
      <c r="K78" s="262"/>
      <c r="L78" s="262"/>
      <c r="M78" s="262"/>
      <c r="N78" s="263"/>
      <c r="O78" s="146"/>
      <c r="P78" s="146"/>
      <c r="Q78" s="146"/>
      <c r="R78" s="146"/>
      <c r="S78" s="146"/>
      <c r="T78" s="146"/>
      <c r="U78" s="146"/>
      <c r="V78" s="146"/>
      <c r="W78" s="146"/>
      <c r="X78" s="146"/>
      <c r="Y78" s="146"/>
      <c r="Z78" s="146"/>
    </row>
    <row r="79">
      <c r="A79" s="28"/>
      <c r="B79" s="264" t="s">
        <v>315</v>
      </c>
      <c r="C79" s="262"/>
      <c r="D79" s="262"/>
      <c r="E79" s="262"/>
      <c r="F79" s="262"/>
      <c r="G79" s="262"/>
      <c r="H79" s="262"/>
      <c r="I79" s="262"/>
      <c r="J79" s="262"/>
      <c r="K79" s="262"/>
      <c r="L79" s="262"/>
      <c r="M79" s="262"/>
      <c r="N79" s="263"/>
    </row>
    <row r="80">
      <c r="A80" s="28"/>
      <c r="B80" s="265" t="s">
        <v>316</v>
      </c>
      <c r="C80" s="266" t="s">
        <v>317</v>
      </c>
      <c r="D80" s="266" t="s">
        <v>318</v>
      </c>
      <c r="E80" s="267" t="s">
        <v>319</v>
      </c>
      <c r="F80" s="268" t="s">
        <v>320</v>
      </c>
      <c r="G80" s="269" t="s">
        <v>321</v>
      </c>
      <c r="H80" s="164"/>
      <c r="I80" s="270" t="s">
        <v>316</v>
      </c>
      <c r="J80" s="271" t="s">
        <v>317</v>
      </c>
      <c r="K80" s="271" t="s">
        <v>318</v>
      </c>
      <c r="L80" s="272" t="s">
        <v>319</v>
      </c>
      <c r="M80" s="273" t="s">
        <v>322</v>
      </c>
      <c r="N80" s="274" t="s">
        <v>323</v>
      </c>
    </row>
    <row r="81">
      <c r="A81" s="28"/>
      <c r="B81" s="275" t="s">
        <v>94</v>
      </c>
      <c r="C81" s="276" t="s">
        <v>324</v>
      </c>
      <c r="D81" s="277" t="s">
        <v>325</v>
      </c>
      <c r="E81" s="278">
        <v>3.0</v>
      </c>
      <c r="F81" s="279" t="str">
        <f t="shared" ref="F81:F89" si="2">IF(ISBLANK(E81),"— Belum diisi",IF(E81=1,"Sangat Tidak Sesuai",IF(E81=2,"Tidak Sesuai",IF(E81=3,"Cukup Sesuai",IF(E81=4,"Sesuai",IF(E81=5,"Sangat Sesuai","—"))))))</f>
        <v>Cukup Sesuai</v>
      </c>
      <c r="G81" s="280" t="s">
        <v>432</v>
      </c>
      <c r="H81" s="164"/>
      <c r="I81" s="281" t="s">
        <v>94</v>
      </c>
      <c r="J81" s="282" t="s">
        <v>324</v>
      </c>
      <c r="K81" s="283" t="s">
        <v>325</v>
      </c>
      <c r="L81" s="278">
        <v>3.0</v>
      </c>
      <c r="M81" s="285" t="str">
        <f t="shared" ref="M81:M89" si="3">IF(ISBLANK(L81),"— Belum diisi",IF(L81=1,"Sangat Tidak Sesuai",IF(L81=2,"Tidak Sesuai",IF(L81=3,"Cukup Sesuai",IF(L81=4,"Sesuai",IF(L81=5,"Sangat Sesuai","—"))))))</f>
        <v>Cukup Sesuai</v>
      </c>
      <c r="N81" s="280" t="s">
        <v>432</v>
      </c>
    </row>
    <row r="82">
      <c r="A82" s="28"/>
      <c r="B82" s="275" t="s">
        <v>95</v>
      </c>
      <c r="C82" s="286" t="s">
        <v>327</v>
      </c>
      <c r="D82" s="287" t="s">
        <v>328</v>
      </c>
      <c r="E82" s="278">
        <v>3.0</v>
      </c>
      <c r="F82" s="288" t="str">
        <f t="shared" si="2"/>
        <v>Cukup Sesuai</v>
      </c>
      <c r="G82" s="280" t="s">
        <v>433</v>
      </c>
      <c r="H82" s="164"/>
      <c r="I82" s="281" t="s">
        <v>95</v>
      </c>
      <c r="J82" s="286" t="s">
        <v>327</v>
      </c>
      <c r="K82" s="287" t="s">
        <v>328</v>
      </c>
      <c r="L82" s="278">
        <v>3.0</v>
      </c>
      <c r="M82" s="288" t="str">
        <f t="shared" si="3"/>
        <v>Cukup Sesuai</v>
      </c>
      <c r="N82" s="280"/>
    </row>
    <row r="83">
      <c r="A83" s="28"/>
      <c r="B83" s="275" t="s">
        <v>96</v>
      </c>
      <c r="C83" s="276" t="s">
        <v>330</v>
      </c>
      <c r="D83" s="277" t="s">
        <v>331</v>
      </c>
      <c r="E83" s="278">
        <v>4.0</v>
      </c>
      <c r="F83" s="279" t="str">
        <f t="shared" si="2"/>
        <v>Sesuai</v>
      </c>
      <c r="G83" s="297"/>
      <c r="H83" s="164"/>
      <c r="I83" s="281" t="s">
        <v>96</v>
      </c>
      <c r="J83" s="282" t="s">
        <v>330</v>
      </c>
      <c r="K83" s="289" t="s">
        <v>331</v>
      </c>
      <c r="L83" s="278">
        <v>3.0</v>
      </c>
      <c r="M83" s="290" t="str">
        <f t="shared" si="3"/>
        <v>Cukup Sesuai</v>
      </c>
      <c r="N83" s="280" t="s">
        <v>434</v>
      </c>
    </row>
    <row r="84">
      <c r="A84" s="28"/>
      <c r="B84" s="275" t="s">
        <v>97</v>
      </c>
      <c r="C84" s="286" t="s">
        <v>334</v>
      </c>
      <c r="D84" s="287" t="s">
        <v>335</v>
      </c>
      <c r="E84" s="278">
        <v>4.0</v>
      </c>
      <c r="F84" s="288" t="str">
        <f t="shared" si="2"/>
        <v>Sesuai</v>
      </c>
      <c r="G84" s="297"/>
      <c r="H84" s="164"/>
      <c r="I84" s="281" t="s">
        <v>97</v>
      </c>
      <c r="J84" s="286" t="s">
        <v>334</v>
      </c>
      <c r="K84" s="287" t="s">
        <v>335</v>
      </c>
      <c r="L84" s="278">
        <v>4.0</v>
      </c>
      <c r="M84" s="288" t="str">
        <f t="shared" si="3"/>
        <v>Sesuai</v>
      </c>
      <c r="N84" s="297"/>
    </row>
    <row r="85">
      <c r="A85" s="28"/>
      <c r="B85" s="275" t="s">
        <v>98</v>
      </c>
      <c r="C85" s="276" t="s">
        <v>336</v>
      </c>
      <c r="D85" s="277" t="s">
        <v>337</v>
      </c>
      <c r="E85" s="278">
        <v>3.0</v>
      </c>
      <c r="F85" s="279" t="str">
        <f t="shared" si="2"/>
        <v>Cukup Sesuai</v>
      </c>
      <c r="G85" s="280" t="s">
        <v>435</v>
      </c>
      <c r="H85" s="164"/>
      <c r="I85" s="281" t="s">
        <v>98</v>
      </c>
      <c r="J85" s="282" t="s">
        <v>336</v>
      </c>
      <c r="K85" s="289" t="s">
        <v>337</v>
      </c>
      <c r="L85" s="278">
        <v>3.0</v>
      </c>
      <c r="M85" s="290" t="str">
        <f t="shared" si="3"/>
        <v>Cukup Sesuai</v>
      </c>
      <c r="N85" s="280" t="s">
        <v>436</v>
      </c>
    </row>
    <row r="86">
      <c r="A86" s="28"/>
      <c r="B86" s="291" t="s">
        <v>99</v>
      </c>
      <c r="C86" s="286" t="s">
        <v>339</v>
      </c>
      <c r="D86" s="287" t="s">
        <v>340</v>
      </c>
      <c r="E86" s="278">
        <v>3.0</v>
      </c>
      <c r="F86" s="288" t="str">
        <f t="shared" si="2"/>
        <v>Cukup Sesuai</v>
      </c>
      <c r="G86" s="280" t="s">
        <v>437</v>
      </c>
      <c r="H86" s="164"/>
      <c r="I86" s="292" t="s">
        <v>99</v>
      </c>
      <c r="J86" s="286" t="s">
        <v>339</v>
      </c>
      <c r="K86" s="287" t="s">
        <v>340</v>
      </c>
      <c r="L86" s="278">
        <v>3.0</v>
      </c>
      <c r="M86" s="288" t="str">
        <f t="shared" si="3"/>
        <v>Cukup Sesuai</v>
      </c>
      <c r="N86" s="280" t="s">
        <v>437</v>
      </c>
    </row>
    <row r="87">
      <c r="A87" s="28"/>
      <c r="B87" s="293" t="s">
        <v>100</v>
      </c>
      <c r="C87" s="276" t="s">
        <v>343</v>
      </c>
      <c r="D87" s="277" t="s">
        <v>344</v>
      </c>
      <c r="E87" s="278">
        <v>3.0</v>
      </c>
      <c r="F87" s="279" t="str">
        <f t="shared" si="2"/>
        <v>Cukup Sesuai</v>
      </c>
      <c r="G87" s="280" t="s">
        <v>345</v>
      </c>
      <c r="H87" s="164"/>
      <c r="I87" s="294" t="s">
        <v>100</v>
      </c>
      <c r="J87" s="282" t="s">
        <v>343</v>
      </c>
      <c r="K87" s="289" t="s">
        <v>344</v>
      </c>
      <c r="L87" s="278">
        <v>3.0</v>
      </c>
      <c r="M87" s="290" t="str">
        <f t="shared" si="3"/>
        <v>Cukup Sesuai</v>
      </c>
      <c r="N87" s="280" t="s">
        <v>345</v>
      </c>
    </row>
    <row r="88">
      <c r="A88" s="28"/>
      <c r="B88" s="295" t="s">
        <v>101</v>
      </c>
      <c r="C88" s="286" t="s">
        <v>346</v>
      </c>
      <c r="D88" s="287" t="s">
        <v>347</v>
      </c>
      <c r="E88" s="278">
        <v>3.0</v>
      </c>
      <c r="F88" s="288" t="str">
        <f t="shared" si="2"/>
        <v>Cukup Sesuai</v>
      </c>
      <c r="G88" s="280" t="s">
        <v>438</v>
      </c>
      <c r="H88" s="164"/>
      <c r="I88" s="296" t="s">
        <v>101</v>
      </c>
      <c r="J88" s="286" t="s">
        <v>346</v>
      </c>
      <c r="K88" s="287" t="s">
        <v>347</v>
      </c>
      <c r="L88" s="278">
        <v>4.0</v>
      </c>
      <c r="M88" s="288" t="str">
        <f t="shared" si="3"/>
        <v>Sesuai</v>
      </c>
      <c r="N88" s="297"/>
    </row>
    <row r="89">
      <c r="A89" s="28"/>
      <c r="B89" s="298" t="s">
        <v>102</v>
      </c>
      <c r="C89" s="276" t="s">
        <v>349</v>
      </c>
      <c r="D89" s="277" t="s">
        <v>350</v>
      </c>
      <c r="E89" s="278">
        <v>4.0</v>
      </c>
      <c r="F89" s="279" t="str">
        <f t="shared" si="2"/>
        <v>Sesuai</v>
      </c>
      <c r="G89" s="297"/>
      <c r="H89" s="164"/>
      <c r="I89" s="299" t="s">
        <v>102</v>
      </c>
      <c r="J89" s="282" t="s">
        <v>349</v>
      </c>
      <c r="K89" s="289" t="s">
        <v>350</v>
      </c>
      <c r="L89" s="278">
        <v>4.0</v>
      </c>
      <c r="M89" s="290" t="str">
        <f t="shared" si="3"/>
        <v>Sesuai</v>
      </c>
      <c r="N89" s="297"/>
    </row>
    <row r="90">
      <c r="A90" s="28"/>
      <c r="B90" s="300" t="s">
        <v>351</v>
      </c>
      <c r="C90" s="301"/>
      <c r="D90" s="27"/>
      <c r="E90" s="302">
        <f>IFERROR(AVERAGE(E81,E82,E83,E84,E85,E86,E87,E88,E89),"—")</f>
        <v>3.333333333</v>
      </c>
      <c r="F90" s="303" t="str">
        <f>IF(ISNUMBER(E90),IF(E90&lt;2,"Sangat Tidak Sesuai",IF(E90&lt;3,"Tidak Sesuai",IF(E90&lt;4,"Cukup Sesuai",IF(E90&lt;4.6,"Sesuai","Sangat Sesuai")))),"—")</f>
        <v>Cukup Sesuai</v>
      </c>
      <c r="G90" s="3"/>
      <c r="H90" s="164"/>
      <c r="I90" s="304" t="s">
        <v>351</v>
      </c>
      <c r="J90" s="301"/>
      <c r="K90" s="27"/>
      <c r="L90" s="294">
        <f>IFERROR(AVERAGE(L81,L82,L83,L84,L85,L86,L87,L88,L89),"—")</f>
        <v>3.333333333</v>
      </c>
      <c r="M90" s="305" t="str">
        <f>IF(ISNUMBER(L90),IF(L90&lt;2,"Sangat Tidak Sesuai",IF(L90&lt;3,"Tidak Sesuai",IF(L90&lt;4,"Cukup Sesuai",IF(L90&lt;4.6,"Sesuai","Sangat Sesuai")))),"—")</f>
        <v>Cukup Sesuai</v>
      </c>
      <c r="N90" s="3"/>
    </row>
    <row r="91">
      <c r="A91" s="28"/>
      <c r="B91" s="306"/>
    </row>
    <row r="92" ht="27.75" customHeight="1">
      <c r="A92" s="142"/>
      <c r="B92" s="307" t="s">
        <v>352</v>
      </c>
      <c r="C92" s="170"/>
      <c r="D92" s="170"/>
      <c r="E92" s="170"/>
      <c r="F92" s="170"/>
      <c r="G92" s="170"/>
      <c r="H92" s="170"/>
      <c r="I92" s="170"/>
      <c r="J92" s="170"/>
      <c r="K92" s="170"/>
      <c r="L92" s="170"/>
      <c r="M92" s="170"/>
      <c r="N92" s="308"/>
      <c r="O92" s="146"/>
      <c r="P92" s="146"/>
      <c r="Q92" s="146"/>
      <c r="R92" s="146"/>
      <c r="S92" s="146"/>
      <c r="T92" s="146"/>
      <c r="U92" s="146"/>
      <c r="V92" s="146"/>
      <c r="W92" s="146"/>
      <c r="X92" s="146"/>
      <c r="Y92" s="146"/>
      <c r="Z92" s="146"/>
    </row>
    <row r="93" ht="25.5" customHeight="1">
      <c r="A93" s="147"/>
      <c r="B93" s="309" t="s">
        <v>353</v>
      </c>
      <c r="C93" s="310"/>
      <c r="D93" s="310"/>
      <c r="E93" s="310"/>
      <c r="F93" s="310"/>
      <c r="G93" s="311"/>
      <c r="H93" s="312"/>
      <c r="I93" s="313" t="s">
        <v>354</v>
      </c>
      <c r="J93" s="30"/>
      <c r="K93" s="30"/>
      <c r="L93" s="30"/>
      <c r="M93" s="30"/>
      <c r="N93" s="3"/>
      <c r="O93" s="153"/>
      <c r="P93" s="153"/>
      <c r="Q93" s="153"/>
      <c r="R93" s="153"/>
      <c r="S93" s="153"/>
      <c r="T93" s="153"/>
      <c r="U93" s="153"/>
      <c r="V93" s="153"/>
      <c r="W93" s="153"/>
      <c r="X93" s="153"/>
      <c r="Y93" s="153"/>
      <c r="Z93" s="153"/>
    </row>
    <row r="94">
      <c r="A94" s="28"/>
      <c r="B94" s="314" t="s">
        <v>355</v>
      </c>
      <c r="C94" s="315"/>
      <c r="D94" s="315"/>
      <c r="E94" s="315"/>
      <c r="F94" s="315"/>
      <c r="G94" s="316"/>
      <c r="H94" s="260"/>
      <c r="I94" s="317" t="s">
        <v>355</v>
      </c>
      <c r="J94" s="30"/>
      <c r="K94" s="30"/>
      <c r="L94" s="30"/>
      <c r="M94" s="30"/>
      <c r="N94" s="3"/>
    </row>
    <row r="95">
      <c r="A95" s="28"/>
      <c r="B95" s="378" t="s">
        <v>356</v>
      </c>
      <c r="H95" s="260"/>
      <c r="I95" s="379" t="s">
        <v>356</v>
      </c>
      <c r="J95" s="30"/>
      <c r="K95" s="30"/>
      <c r="L95" s="30"/>
      <c r="M95" s="30"/>
      <c r="N95" s="3"/>
    </row>
    <row r="96">
      <c r="A96" s="28"/>
      <c r="B96" s="320" t="s">
        <v>439</v>
      </c>
      <c r="G96" s="321"/>
      <c r="H96" s="322"/>
      <c r="I96" s="323" t="s">
        <v>440</v>
      </c>
      <c r="J96" s="324"/>
      <c r="K96" s="324"/>
      <c r="L96" s="324"/>
      <c r="M96" s="324"/>
      <c r="N96" s="325"/>
    </row>
    <row r="97">
      <c r="A97" s="28"/>
      <c r="B97" s="326"/>
      <c r="G97" s="321"/>
      <c r="H97" s="322"/>
      <c r="I97" s="327"/>
      <c r="N97" s="328"/>
    </row>
    <row r="98">
      <c r="A98" s="28"/>
      <c r="B98" s="326"/>
      <c r="G98" s="321"/>
      <c r="H98" s="322"/>
      <c r="I98" s="327"/>
      <c r="N98" s="328"/>
    </row>
    <row r="99">
      <c r="A99" s="28"/>
      <c r="B99" s="329"/>
      <c r="C99" s="330"/>
      <c r="D99" s="330"/>
      <c r="E99" s="330"/>
      <c r="F99" s="330"/>
      <c r="G99" s="331"/>
      <c r="H99" s="322"/>
      <c r="I99" s="332"/>
      <c r="J99" s="333"/>
      <c r="K99" s="333"/>
      <c r="L99" s="333"/>
      <c r="M99" s="333"/>
      <c r="N99" s="334"/>
    </row>
    <row r="100">
      <c r="A100" s="28"/>
      <c r="B100" s="28"/>
      <c r="C100" s="28"/>
      <c r="D100" s="28"/>
      <c r="E100" s="28"/>
      <c r="F100" s="28"/>
      <c r="G100" s="28"/>
    </row>
    <row r="101">
      <c r="A101" s="28"/>
      <c r="B101" s="335" t="s">
        <v>358</v>
      </c>
      <c r="C101" s="144"/>
      <c r="D101" s="144"/>
      <c r="E101" s="144"/>
      <c r="F101" s="144"/>
      <c r="G101" s="145"/>
      <c r="H101" s="164"/>
      <c r="I101" s="336" t="s">
        <v>358</v>
      </c>
      <c r="J101" s="30"/>
      <c r="K101" s="30"/>
      <c r="L101" s="30"/>
      <c r="M101" s="30"/>
      <c r="N101" s="3"/>
    </row>
    <row r="102">
      <c r="A102" s="28"/>
      <c r="B102" s="337" t="s">
        <v>359</v>
      </c>
      <c r="H102" s="260"/>
      <c r="I102" s="338" t="s">
        <v>359</v>
      </c>
      <c r="J102" s="30"/>
      <c r="K102" s="30"/>
      <c r="L102" s="30"/>
      <c r="M102" s="30"/>
      <c r="N102" s="3"/>
    </row>
    <row r="103">
      <c r="A103" s="28"/>
      <c r="B103" s="339" t="s">
        <v>441</v>
      </c>
      <c r="G103" s="328"/>
      <c r="H103" s="340"/>
      <c r="I103" s="341" t="s">
        <v>441</v>
      </c>
      <c r="J103" s="324"/>
      <c r="K103" s="324"/>
      <c r="L103" s="324"/>
      <c r="M103" s="324"/>
      <c r="N103" s="325"/>
    </row>
    <row r="104">
      <c r="A104" s="28"/>
      <c r="B104" s="342"/>
      <c r="G104" s="328"/>
      <c r="H104" s="340"/>
      <c r="I104" s="327"/>
      <c r="N104" s="328"/>
    </row>
    <row r="105">
      <c r="A105" s="28"/>
      <c r="B105" s="342"/>
      <c r="G105" s="328"/>
      <c r="H105" s="340"/>
      <c r="I105" s="327"/>
      <c r="N105" s="328"/>
    </row>
    <row r="106">
      <c r="A106" s="28"/>
      <c r="B106" s="343"/>
      <c r="C106" s="163"/>
      <c r="D106" s="163"/>
      <c r="E106" s="163"/>
      <c r="F106" s="163"/>
      <c r="G106" s="344"/>
      <c r="H106" s="340"/>
      <c r="I106" s="332"/>
      <c r="J106" s="333"/>
      <c r="K106" s="333"/>
      <c r="L106" s="333"/>
      <c r="M106" s="333"/>
      <c r="N106" s="334"/>
    </row>
    <row r="107">
      <c r="A107" s="28"/>
    </row>
    <row r="108">
      <c r="A108" s="28"/>
      <c r="B108" s="345" t="s">
        <v>361</v>
      </c>
      <c r="C108" s="30"/>
      <c r="D108" s="30"/>
      <c r="E108" s="30"/>
      <c r="F108" s="30"/>
      <c r="G108" s="3"/>
      <c r="H108" s="164"/>
      <c r="I108" s="346" t="s">
        <v>361</v>
      </c>
      <c r="J108" s="30"/>
      <c r="K108" s="30"/>
      <c r="L108" s="30"/>
      <c r="M108" s="30"/>
      <c r="N108" s="3"/>
    </row>
    <row r="109">
      <c r="A109" s="28"/>
      <c r="B109" s="347" t="s">
        <v>362</v>
      </c>
      <c r="C109" s="30"/>
      <c r="D109" s="30"/>
      <c r="E109" s="30"/>
      <c r="F109" s="30"/>
      <c r="G109" s="3"/>
      <c r="H109" s="164"/>
      <c r="I109" s="348" t="s">
        <v>362</v>
      </c>
      <c r="J109" s="30"/>
      <c r="K109" s="30"/>
      <c r="L109" s="30"/>
      <c r="M109" s="30"/>
      <c r="N109" s="3"/>
    </row>
    <row r="110">
      <c r="A110" s="28"/>
      <c r="B110" s="349" t="s">
        <v>363</v>
      </c>
      <c r="C110" s="324"/>
      <c r="D110" s="324"/>
      <c r="E110" s="324"/>
      <c r="F110" s="324"/>
      <c r="G110" s="325"/>
      <c r="H110" s="340"/>
      <c r="I110" s="350" t="s">
        <v>363</v>
      </c>
      <c r="J110" s="324"/>
      <c r="K110" s="324"/>
      <c r="L110" s="324"/>
      <c r="M110" s="324"/>
      <c r="N110" s="325"/>
    </row>
    <row r="111">
      <c r="A111" s="28"/>
      <c r="B111" s="327"/>
      <c r="G111" s="328"/>
      <c r="H111" s="340"/>
      <c r="I111" s="327"/>
      <c r="N111" s="328"/>
    </row>
    <row r="112">
      <c r="A112" s="28"/>
      <c r="B112" s="327"/>
      <c r="G112" s="328"/>
      <c r="H112" s="340"/>
      <c r="I112" s="327"/>
      <c r="N112" s="328"/>
    </row>
    <row r="113">
      <c r="A113" s="28"/>
      <c r="B113" s="332"/>
      <c r="C113" s="333"/>
      <c r="D113" s="333"/>
      <c r="E113" s="333"/>
      <c r="F113" s="333"/>
      <c r="G113" s="334"/>
      <c r="H113" s="340"/>
      <c r="I113" s="332"/>
      <c r="J113" s="333"/>
      <c r="K113" s="333"/>
      <c r="L113" s="333"/>
      <c r="M113" s="333"/>
      <c r="N113" s="334"/>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sheetData>
  <mergeCells count="126">
    <mergeCell ref="M42:N42"/>
    <mergeCell ref="M43:N43"/>
    <mergeCell ref="M44:N44"/>
    <mergeCell ref="M45:N45"/>
    <mergeCell ref="M46:N46"/>
    <mergeCell ref="M47:N47"/>
    <mergeCell ref="M48:N48"/>
    <mergeCell ref="M49:N49"/>
    <mergeCell ref="M50:N50"/>
    <mergeCell ref="M55:N55"/>
    <mergeCell ref="M56:N56"/>
    <mergeCell ref="M57:N57"/>
    <mergeCell ref="M58:N58"/>
    <mergeCell ref="M62:N62"/>
    <mergeCell ref="M70:N70"/>
    <mergeCell ref="M71:N71"/>
    <mergeCell ref="M72:N72"/>
    <mergeCell ref="M73:N73"/>
    <mergeCell ref="M74:N74"/>
    <mergeCell ref="M75:N75"/>
    <mergeCell ref="M76:N76"/>
    <mergeCell ref="M63:N63"/>
    <mergeCell ref="M64:N64"/>
    <mergeCell ref="M65:N65"/>
    <mergeCell ref="M66:N66"/>
    <mergeCell ref="M67:N67"/>
    <mergeCell ref="M68:N68"/>
    <mergeCell ref="M69:N69"/>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62:G62"/>
    <mergeCell ref="F63:G63"/>
    <mergeCell ref="F64:G64"/>
    <mergeCell ref="F72:G72"/>
    <mergeCell ref="F73:G73"/>
    <mergeCell ref="F74:G74"/>
    <mergeCell ref="F75:G75"/>
    <mergeCell ref="F76:G76"/>
    <mergeCell ref="F77:G77"/>
    <mergeCell ref="F65:G65"/>
    <mergeCell ref="F66:G66"/>
    <mergeCell ref="F67:G67"/>
    <mergeCell ref="F68:G68"/>
    <mergeCell ref="F69:G69"/>
    <mergeCell ref="F70:G70"/>
    <mergeCell ref="F71:G71"/>
    <mergeCell ref="I93:N93"/>
    <mergeCell ref="I94:N94"/>
    <mergeCell ref="B90:D90"/>
    <mergeCell ref="F90:G90"/>
    <mergeCell ref="I90:K90"/>
    <mergeCell ref="M90:N90"/>
    <mergeCell ref="B92:N92"/>
    <mergeCell ref="B93:G93"/>
    <mergeCell ref="B94:G94"/>
    <mergeCell ref="B95:G95"/>
    <mergeCell ref="I95:N95"/>
    <mergeCell ref="B96:G99"/>
    <mergeCell ref="I96:N99"/>
    <mergeCell ref="B101:G101"/>
    <mergeCell ref="I101:N101"/>
    <mergeCell ref="I102:N102"/>
    <mergeCell ref="I109:N109"/>
    <mergeCell ref="I110:N113"/>
    <mergeCell ref="B102:G102"/>
    <mergeCell ref="B103:G106"/>
    <mergeCell ref="I103:N106"/>
    <mergeCell ref="B108:G108"/>
    <mergeCell ref="I108:N108"/>
    <mergeCell ref="B109:G109"/>
    <mergeCell ref="B110:G113"/>
    <mergeCell ref="I15:N15"/>
    <mergeCell ref="M16:N16"/>
    <mergeCell ref="B2:N2"/>
    <mergeCell ref="B3:N3"/>
    <mergeCell ref="B5:C5"/>
    <mergeCell ref="D5:E5"/>
    <mergeCell ref="B14:N14"/>
    <mergeCell ref="B15:G15"/>
    <mergeCell ref="F16:G16"/>
    <mergeCell ref="F17:G17"/>
    <mergeCell ref="M17:N17"/>
    <mergeCell ref="F18:G18"/>
    <mergeCell ref="F19:G19"/>
    <mergeCell ref="M19:N19"/>
    <mergeCell ref="F21:G21"/>
    <mergeCell ref="M21:N21"/>
    <mergeCell ref="F22:G22"/>
    <mergeCell ref="F23:G23"/>
    <mergeCell ref="M23:N23"/>
    <mergeCell ref="F25:G25"/>
    <mergeCell ref="F26:G26"/>
    <mergeCell ref="F27:G27"/>
    <mergeCell ref="F29:G29"/>
    <mergeCell ref="B31:N31"/>
    <mergeCell ref="B32:G32"/>
    <mergeCell ref="I32:N32"/>
    <mergeCell ref="B39:N39"/>
    <mergeCell ref="B40:G40"/>
    <mergeCell ref="I40:N40"/>
    <mergeCell ref="M41:N41"/>
    <mergeCell ref="M51:N51"/>
    <mergeCell ref="M54:N54"/>
    <mergeCell ref="M52:N52"/>
    <mergeCell ref="M53:N53"/>
    <mergeCell ref="B60:N60"/>
    <mergeCell ref="B61:G61"/>
    <mergeCell ref="I61:N61"/>
    <mergeCell ref="B78:N78"/>
    <mergeCell ref="B79:N79"/>
  </mergeCells>
  <conditionalFormatting sqref="E42:E58 E63:E76">
    <cfRule type="cellIs" dxfId="2" priority="1" operator="greaterThan">
      <formula>"100%"</formula>
    </cfRule>
  </conditionalFormatting>
  <conditionalFormatting sqref="E42:E58 E63:E76">
    <cfRule type="cellIs" dxfId="1" priority="2" operator="lessThan">
      <formula>"100%"</formula>
    </cfRule>
  </conditionalFormatting>
  <conditionalFormatting sqref="E42:E58 E63:E76">
    <cfRule type="cellIs" dxfId="3" priority="3" operator="equal">
      <formula>"100%"</formula>
    </cfRule>
  </conditionalFormatting>
  <conditionalFormatting sqref="L42:L58 L63:L76">
    <cfRule type="cellIs" dxfId="2" priority="4" operator="greaterThan">
      <formula>"100%"</formula>
    </cfRule>
  </conditionalFormatting>
  <conditionalFormatting sqref="L42:L58 L63:L76">
    <cfRule type="cellIs" dxfId="1" priority="5" operator="lessThan">
      <formula>"100%"</formula>
    </cfRule>
  </conditionalFormatting>
  <conditionalFormatting sqref="L42:L58 L63:L76">
    <cfRule type="cellIs" dxfId="0" priority="6" operator="equal">
      <formula>"100%"</formula>
    </cfRule>
  </conditionalFormatting>
  <dataValidations>
    <dataValidation type="list" allowBlank="1" showInputMessage="1" showErrorMessage="1" prompt="Nilai Tidak Valid - Silakan pilih nilai 1–5 dari dropdown." sqref="E81:E89 L81:L89">
      <formula1>"1,2,3,4,5"</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
    <col customWidth="1" min="2" max="2" width="26.0"/>
    <col customWidth="1" min="3" max="3" width="24.0"/>
    <col customWidth="1" min="4" max="4" width="26.0"/>
    <col customWidth="1" min="5" max="5" width="25.71"/>
    <col customWidth="1" min="6" max="6" width="18.0"/>
    <col customWidth="1" min="7" max="7" width="28.0"/>
    <col customWidth="1" min="9" max="9" width="28.71"/>
    <col customWidth="1" min="10" max="10" width="15.86"/>
    <col customWidth="1" min="11" max="11" width="20.0"/>
    <col customWidth="1" min="12" max="12" width="17.57"/>
    <col customWidth="1" min="14" max="14" width="21.43"/>
  </cols>
  <sheetData>
    <row r="1" ht="7.5" customHeight="1">
      <c r="A1" s="28"/>
      <c r="B1" s="28"/>
      <c r="C1" s="28"/>
      <c r="D1" s="28"/>
      <c r="E1" s="28"/>
      <c r="F1" s="28"/>
      <c r="G1" s="28"/>
    </row>
    <row r="2" ht="27.75" customHeight="1">
      <c r="A2" s="351"/>
      <c r="B2" s="352" t="s">
        <v>442</v>
      </c>
      <c r="C2" s="30"/>
      <c r="D2" s="30"/>
      <c r="E2" s="30"/>
      <c r="F2" s="30"/>
      <c r="G2" s="30"/>
      <c r="H2" s="30"/>
      <c r="I2" s="30"/>
      <c r="J2" s="30"/>
      <c r="K2" s="30"/>
      <c r="L2" s="30"/>
      <c r="M2" s="30"/>
      <c r="N2" s="3"/>
      <c r="O2" s="353"/>
      <c r="P2" s="353"/>
      <c r="Q2" s="353"/>
      <c r="R2" s="353"/>
      <c r="S2" s="353"/>
      <c r="T2" s="353"/>
      <c r="U2" s="353"/>
      <c r="V2" s="353"/>
      <c r="W2" s="353"/>
      <c r="X2" s="353"/>
      <c r="Y2" s="353"/>
      <c r="Z2" s="353"/>
    </row>
    <row r="3" ht="15.75" customHeight="1">
      <c r="A3" s="28"/>
      <c r="B3" s="133"/>
      <c r="C3" s="30"/>
      <c r="D3" s="30"/>
      <c r="E3" s="30"/>
      <c r="F3" s="30"/>
      <c r="G3" s="30"/>
      <c r="H3" s="30"/>
      <c r="I3" s="30"/>
      <c r="J3" s="30"/>
      <c r="K3" s="30"/>
      <c r="L3" s="30"/>
      <c r="M3" s="30"/>
      <c r="N3" s="3"/>
    </row>
    <row r="4">
      <c r="A4" s="28"/>
      <c r="B4" s="28"/>
      <c r="C4" s="28"/>
      <c r="D4" s="28"/>
      <c r="E4" s="28"/>
      <c r="F4" s="28"/>
      <c r="G4" s="28"/>
    </row>
    <row r="5" ht="30.0" customHeight="1">
      <c r="A5" s="142"/>
      <c r="B5" s="134" t="s">
        <v>146</v>
      </c>
      <c r="C5" s="27"/>
      <c r="D5" s="134" t="s">
        <v>147</v>
      </c>
      <c r="E5" s="27"/>
      <c r="F5" s="142"/>
      <c r="G5" s="142"/>
      <c r="H5" s="146"/>
      <c r="I5" s="146"/>
      <c r="J5" s="146"/>
      <c r="K5" s="146"/>
      <c r="L5" s="146"/>
      <c r="M5" s="146"/>
      <c r="N5" s="146"/>
      <c r="O5" s="146"/>
      <c r="P5" s="146"/>
      <c r="Q5" s="146"/>
      <c r="R5" s="146"/>
      <c r="S5" s="146"/>
      <c r="T5" s="146"/>
      <c r="U5" s="146"/>
      <c r="V5" s="146"/>
      <c r="W5" s="146"/>
      <c r="X5" s="146"/>
      <c r="Y5" s="146"/>
      <c r="Z5" s="146"/>
    </row>
    <row r="6">
      <c r="A6" s="28"/>
      <c r="B6" s="135" t="s">
        <v>148</v>
      </c>
      <c r="C6" s="136">
        <v>28.0</v>
      </c>
      <c r="D6" s="135" t="s">
        <v>149</v>
      </c>
      <c r="E6" s="380" t="s">
        <v>365</v>
      </c>
      <c r="F6" s="28"/>
      <c r="G6" s="28"/>
    </row>
    <row r="7">
      <c r="A7" s="28"/>
      <c r="B7" s="139" t="s">
        <v>150</v>
      </c>
      <c r="C7" s="136" t="s">
        <v>151</v>
      </c>
      <c r="D7" s="139" t="s">
        <v>152</v>
      </c>
      <c r="E7" s="380">
        <v>2205.0</v>
      </c>
      <c r="F7" s="28"/>
      <c r="G7" s="28"/>
    </row>
    <row r="8">
      <c r="A8" s="28"/>
      <c r="B8" s="135" t="s">
        <v>154</v>
      </c>
      <c r="C8" s="136">
        <v>68.0</v>
      </c>
      <c r="D8" s="135" t="s">
        <v>155</v>
      </c>
      <c r="E8" s="380" t="s">
        <v>443</v>
      </c>
      <c r="F8" s="28"/>
      <c r="G8" s="28"/>
    </row>
    <row r="9">
      <c r="A9" s="28"/>
      <c r="B9" s="139" t="s">
        <v>157</v>
      </c>
      <c r="C9" s="136">
        <v>178.0</v>
      </c>
      <c r="D9" s="139" t="s">
        <v>158</v>
      </c>
      <c r="E9" s="380" t="s">
        <v>444</v>
      </c>
      <c r="F9" s="28"/>
      <c r="G9" s="28"/>
    </row>
    <row r="10">
      <c r="A10" s="28"/>
      <c r="B10" s="135" t="s">
        <v>160</v>
      </c>
      <c r="C10" s="136" t="s">
        <v>161</v>
      </c>
      <c r="D10" s="135" t="s">
        <v>162</v>
      </c>
      <c r="E10" s="380" t="s">
        <v>445</v>
      </c>
      <c r="F10" s="28"/>
      <c r="G10" s="28"/>
    </row>
    <row r="11">
      <c r="A11" s="28"/>
      <c r="B11" s="139" t="s">
        <v>93</v>
      </c>
      <c r="C11" s="136" t="s">
        <v>446</v>
      </c>
      <c r="D11" s="139" t="s">
        <v>165</v>
      </c>
      <c r="E11" s="380" t="s">
        <v>447</v>
      </c>
      <c r="F11" s="28"/>
      <c r="G11" s="28"/>
    </row>
    <row r="12">
      <c r="A12" s="28"/>
      <c r="B12" s="141"/>
      <c r="C12" s="141"/>
      <c r="D12" s="135" t="s">
        <v>167</v>
      </c>
      <c r="E12" s="380" t="s">
        <v>168</v>
      </c>
      <c r="F12" s="28"/>
      <c r="G12" s="28"/>
    </row>
    <row r="13">
      <c r="A13" s="28"/>
      <c r="B13" s="28"/>
      <c r="C13" s="28"/>
      <c r="D13" s="28"/>
      <c r="E13" s="28"/>
      <c r="F13" s="28"/>
      <c r="G13" s="28"/>
    </row>
    <row r="14" ht="30.0" customHeight="1">
      <c r="A14" s="142"/>
      <c r="B14" s="143" t="s">
        <v>169</v>
      </c>
      <c r="C14" s="144"/>
      <c r="D14" s="144"/>
      <c r="E14" s="144"/>
      <c r="F14" s="144"/>
      <c r="G14" s="144"/>
      <c r="H14" s="144"/>
      <c r="I14" s="144"/>
      <c r="J14" s="144"/>
      <c r="K14" s="144"/>
      <c r="L14" s="144"/>
      <c r="M14" s="144"/>
      <c r="N14" s="145"/>
      <c r="O14" s="146"/>
      <c r="P14" s="146"/>
      <c r="Q14" s="146"/>
      <c r="R14" s="146"/>
      <c r="S14" s="146"/>
      <c r="T14" s="146"/>
      <c r="U14" s="146"/>
      <c r="V14" s="146"/>
      <c r="W14" s="146"/>
      <c r="X14" s="146"/>
      <c r="Y14" s="146"/>
      <c r="Z14" s="146"/>
    </row>
    <row r="15" ht="25.5" customHeight="1">
      <c r="A15" s="147"/>
      <c r="B15" s="148" t="s">
        <v>170</v>
      </c>
      <c r="C15" s="149"/>
      <c r="D15" s="149"/>
      <c r="E15" s="149"/>
      <c r="F15" s="149"/>
      <c r="G15" s="150"/>
      <c r="H15" s="151"/>
      <c r="I15" s="152" t="s">
        <v>171</v>
      </c>
      <c r="J15" s="149"/>
      <c r="K15" s="149"/>
      <c r="L15" s="149"/>
      <c r="M15" s="149"/>
      <c r="N15" s="150"/>
      <c r="O15" s="153"/>
      <c r="P15" s="153"/>
      <c r="Q15" s="153"/>
      <c r="R15" s="153"/>
      <c r="S15" s="153"/>
      <c r="T15" s="153"/>
      <c r="U15" s="153"/>
      <c r="V15" s="153"/>
      <c r="W15" s="153"/>
      <c r="X15" s="153"/>
      <c r="Y15" s="153"/>
      <c r="Z15" s="153"/>
    </row>
    <row r="16">
      <c r="A16" s="28"/>
      <c r="B16" s="154" t="s">
        <v>172</v>
      </c>
      <c r="C16" s="154" t="s">
        <v>173</v>
      </c>
      <c r="D16" s="154" t="s">
        <v>174</v>
      </c>
      <c r="E16" s="154" t="s">
        <v>175</v>
      </c>
      <c r="F16" s="155"/>
      <c r="G16" s="150"/>
      <c r="H16" s="156"/>
      <c r="I16" s="157" t="s">
        <v>172</v>
      </c>
      <c r="J16" s="157" t="s">
        <v>173</v>
      </c>
      <c r="K16" s="157" t="s">
        <v>174</v>
      </c>
      <c r="L16" s="157" t="s">
        <v>175</v>
      </c>
      <c r="M16" s="158"/>
      <c r="N16" s="150"/>
    </row>
    <row r="17">
      <c r="A17" s="28"/>
      <c r="B17" s="159" t="s">
        <v>176</v>
      </c>
      <c r="C17" s="165" t="s">
        <v>448</v>
      </c>
      <c r="D17" s="165">
        <v>114.0</v>
      </c>
      <c r="E17" s="162">
        <v>315.8</v>
      </c>
      <c r="F17" s="162" t="s">
        <v>449</v>
      </c>
      <c r="G17" s="163"/>
      <c r="H17" s="164"/>
      <c r="I17" s="159" t="s">
        <v>176</v>
      </c>
      <c r="J17" s="160" t="s">
        <v>450</v>
      </c>
      <c r="K17" s="160" t="s">
        <v>396</v>
      </c>
      <c r="L17" s="161" t="s">
        <v>451</v>
      </c>
      <c r="M17" s="354"/>
      <c r="N17" s="163"/>
    </row>
    <row r="18">
      <c r="A18" s="28"/>
      <c r="B18" s="166" t="s">
        <v>183</v>
      </c>
      <c r="C18" s="171" t="s">
        <v>452</v>
      </c>
      <c r="D18" s="171">
        <v>113.0</v>
      </c>
      <c r="E18" s="169">
        <v>118.7</v>
      </c>
      <c r="F18" s="169" t="s">
        <v>453</v>
      </c>
      <c r="G18" s="170"/>
      <c r="H18" s="164"/>
      <c r="I18" s="166" t="s">
        <v>183</v>
      </c>
      <c r="J18" s="167" t="s">
        <v>378</v>
      </c>
      <c r="K18" s="167" t="s">
        <v>454</v>
      </c>
      <c r="L18" s="168" t="s">
        <v>455</v>
      </c>
      <c r="M18" s="172"/>
      <c r="N18" s="170"/>
    </row>
    <row r="19">
      <c r="A19" s="28"/>
      <c r="B19" s="173" t="s">
        <v>190</v>
      </c>
      <c r="C19" s="171" t="s">
        <v>456</v>
      </c>
      <c r="D19" s="171">
        <v>113.0</v>
      </c>
      <c r="E19" s="169">
        <v>71.2</v>
      </c>
      <c r="F19" s="169" t="s">
        <v>457</v>
      </c>
      <c r="G19" s="170"/>
      <c r="H19" s="164"/>
      <c r="I19" s="173" t="s">
        <v>190</v>
      </c>
      <c r="J19" s="167" t="s">
        <v>458</v>
      </c>
      <c r="K19" s="167" t="s">
        <v>384</v>
      </c>
      <c r="L19" s="168">
        <v>53.0</v>
      </c>
      <c r="M19" s="172"/>
      <c r="N19" s="170"/>
    </row>
    <row r="20">
      <c r="A20" s="28"/>
      <c r="B20" s="174"/>
      <c r="C20" s="176"/>
      <c r="D20" s="176"/>
      <c r="E20" s="176"/>
      <c r="F20" s="176"/>
      <c r="G20" s="176"/>
      <c r="H20" s="164"/>
      <c r="I20" s="174"/>
      <c r="J20" s="175"/>
      <c r="K20" s="175"/>
      <c r="L20" s="175"/>
      <c r="M20" s="176"/>
      <c r="N20" s="176"/>
    </row>
    <row r="21">
      <c r="A21" s="28"/>
      <c r="B21" s="177" t="s">
        <v>196</v>
      </c>
      <c r="C21" s="171" t="s">
        <v>459</v>
      </c>
      <c r="D21" s="171">
        <v>171.0</v>
      </c>
      <c r="E21" s="169">
        <v>372.8</v>
      </c>
      <c r="F21" s="169" t="s">
        <v>460</v>
      </c>
      <c r="G21" s="170"/>
      <c r="H21" s="164"/>
      <c r="I21" s="177" t="s">
        <v>196</v>
      </c>
      <c r="J21" s="167" t="s">
        <v>461</v>
      </c>
      <c r="K21" s="167" t="s">
        <v>462</v>
      </c>
      <c r="L21" s="168" t="s">
        <v>463</v>
      </c>
      <c r="M21" s="172"/>
      <c r="N21" s="170"/>
    </row>
    <row r="22">
      <c r="A22" s="28"/>
      <c r="B22" s="178" t="s">
        <v>203</v>
      </c>
      <c r="C22" s="171" t="s">
        <v>464</v>
      </c>
      <c r="D22" s="171">
        <v>170.0</v>
      </c>
      <c r="E22" s="169">
        <v>132.6</v>
      </c>
      <c r="F22" s="172"/>
      <c r="G22" s="170"/>
      <c r="H22" s="164"/>
      <c r="I22" s="178" t="s">
        <v>203</v>
      </c>
      <c r="J22" s="167" t="s">
        <v>465</v>
      </c>
      <c r="K22" s="167" t="s">
        <v>466</v>
      </c>
      <c r="L22" s="168" t="s">
        <v>467</v>
      </c>
      <c r="M22" s="172"/>
      <c r="N22" s="170"/>
    </row>
    <row r="23">
      <c r="A23" s="28"/>
      <c r="B23" s="177" t="s">
        <v>211</v>
      </c>
      <c r="C23" s="171" t="s">
        <v>212</v>
      </c>
      <c r="D23" s="171">
        <v>139.0</v>
      </c>
      <c r="E23" s="169">
        <v>148.7</v>
      </c>
      <c r="F23" s="172"/>
      <c r="G23" s="170"/>
      <c r="H23" s="164"/>
      <c r="I23" s="177" t="s">
        <v>211</v>
      </c>
      <c r="J23" s="167" t="s">
        <v>382</v>
      </c>
      <c r="K23" s="167" t="s">
        <v>384</v>
      </c>
      <c r="L23" s="168">
        <v>101.0</v>
      </c>
      <c r="M23" s="172"/>
      <c r="N23" s="170"/>
    </row>
    <row r="24">
      <c r="A24" s="28"/>
      <c r="B24" s="174"/>
      <c r="C24" s="176"/>
      <c r="D24" s="176"/>
      <c r="E24" s="176"/>
      <c r="F24" s="176"/>
      <c r="G24" s="176"/>
      <c r="H24" s="164"/>
      <c r="I24" s="174"/>
      <c r="J24" s="175"/>
      <c r="K24" s="175"/>
      <c r="L24" s="175"/>
      <c r="M24" s="176"/>
      <c r="N24" s="176"/>
    </row>
    <row r="25">
      <c r="A25" s="28"/>
      <c r="B25" s="179" t="s">
        <v>216</v>
      </c>
      <c r="C25" s="171" t="s">
        <v>468</v>
      </c>
      <c r="D25" s="171">
        <v>101.0</v>
      </c>
      <c r="E25" s="169">
        <v>357.5</v>
      </c>
      <c r="F25" s="169" t="s">
        <v>381</v>
      </c>
      <c r="G25" s="170"/>
      <c r="H25" s="164"/>
      <c r="I25" s="179" t="s">
        <v>216</v>
      </c>
      <c r="J25" s="167" t="s">
        <v>469</v>
      </c>
      <c r="K25" s="167" t="s">
        <v>470</v>
      </c>
      <c r="L25" s="168" t="s">
        <v>471</v>
      </c>
      <c r="M25" s="169" t="s">
        <v>472</v>
      </c>
      <c r="N25" s="170"/>
    </row>
    <row r="26">
      <c r="A26" s="28"/>
      <c r="B26" s="180" t="s">
        <v>223</v>
      </c>
      <c r="C26" s="171" t="s">
        <v>184</v>
      </c>
      <c r="D26" s="171">
        <v>100.0</v>
      </c>
      <c r="E26" s="169">
        <v>177.0</v>
      </c>
      <c r="F26" s="172"/>
      <c r="G26" s="170"/>
      <c r="H26" s="164"/>
      <c r="I26" s="180" t="s">
        <v>223</v>
      </c>
      <c r="J26" s="167" t="s">
        <v>473</v>
      </c>
      <c r="K26" s="167" t="s">
        <v>474</v>
      </c>
      <c r="L26" s="168" t="s">
        <v>475</v>
      </c>
      <c r="M26" s="169" t="s">
        <v>476</v>
      </c>
      <c r="N26" s="170"/>
    </row>
    <row r="27">
      <c r="A27" s="28"/>
      <c r="B27" s="179" t="s">
        <v>229</v>
      </c>
      <c r="C27" s="171" t="s">
        <v>477</v>
      </c>
      <c r="D27" s="171">
        <v>100.0</v>
      </c>
      <c r="E27" s="169">
        <v>17.0</v>
      </c>
      <c r="F27" s="172"/>
      <c r="G27" s="170"/>
      <c r="H27" s="164"/>
      <c r="I27" s="179" t="s">
        <v>229</v>
      </c>
      <c r="J27" s="167" t="s">
        <v>382</v>
      </c>
      <c r="K27" s="167" t="s">
        <v>384</v>
      </c>
      <c r="L27" s="168">
        <v>101.0</v>
      </c>
      <c r="M27" s="172"/>
      <c r="N27" s="170"/>
    </row>
    <row r="28">
      <c r="A28" s="28"/>
      <c r="B28" s="174"/>
      <c r="C28" s="176"/>
      <c r="D28" s="176"/>
      <c r="E28" s="176"/>
      <c r="F28" s="176"/>
      <c r="G28" s="176"/>
      <c r="H28" s="164"/>
      <c r="I28" s="174"/>
      <c r="J28" s="175"/>
      <c r="K28" s="175"/>
      <c r="L28" s="175"/>
      <c r="M28" s="176"/>
      <c r="N28" s="176"/>
    </row>
    <row r="29">
      <c r="A29" s="28"/>
      <c r="B29" s="181" t="s">
        <v>234</v>
      </c>
      <c r="C29" s="171" t="s">
        <v>478</v>
      </c>
      <c r="D29" s="171">
        <v>206.0</v>
      </c>
      <c r="E29" s="169">
        <v>302.8</v>
      </c>
      <c r="F29" s="169" t="s">
        <v>479</v>
      </c>
      <c r="G29" s="170"/>
      <c r="H29" s="164"/>
      <c r="I29" s="181" t="s">
        <v>234</v>
      </c>
      <c r="J29" s="167" t="s">
        <v>480</v>
      </c>
      <c r="K29" s="167" t="s">
        <v>188</v>
      </c>
      <c r="L29" s="168" t="s">
        <v>481</v>
      </c>
      <c r="M29" s="169" t="s">
        <v>482</v>
      </c>
      <c r="N29" s="170"/>
    </row>
    <row r="30">
      <c r="A30" s="28"/>
      <c r="F30" s="28"/>
      <c r="G30" s="28"/>
    </row>
    <row r="31" ht="30.0" customHeight="1">
      <c r="A31" s="142"/>
      <c r="B31" s="182" t="s">
        <v>241</v>
      </c>
      <c r="C31" s="183"/>
      <c r="D31" s="183"/>
      <c r="E31" s="183"/>
      <c r="F31" s="183"/>
      <c r="G31" s="183"/>
      <c r="H31" s="183"/>
      <c r="I31" s="183"/>
      <c r="J31" s="183"/>
      <c r="K31" s="183"/>
      <c r="L31" s="183"/>
      <c r="M31" s="183"/>
      <c r="N31" s="184"/>
      <c r="O31" s="146"/>
      <c r="P31" s="146"/>
      <c r="Q31" s="146"/>
      <c r="R31" s="146"/>
      <c r="S31" s="146"/>
      <c r="T31" s="146"/>
      <c r="U31" s="146"/>
      <c r="V31" s="146"/>
      <c r="W31" s="146"/>
      <c r="X31" s="146"/>
      <c r="Y31" s="146"/>
      <c r="Z31" s="146"/>
    </row>
    <row r="32" ht="25.5" customHeight="1">
      <c r="A32" s="147"/>
      <c r="B32" s="237" t="s">
        <v>408</v>
      </c>
      <c r="C32" s="235"/>
      <c r="D32" s="235"/>
      <c r="E32" s="235"/>
      <c r="F32" s="235"/>
      <c r="G32" s="236"/>
      <c r="H32" s="185"/>
      <c r="I32" s="152" t="s">
        <v>242</v>
      </c>
      <c r="J32" s="149"/>
      <c r="K32" s="149"/>
      <c r="L32" s="149"/>
      <c r="M32" s="149"/>
      <c r="N32" s="150"/>
      <c r="O32" s="153"/>
      <c r="P32" s="153"/>
      <c r="Q32" s="153"/>
      <c r="R32" s="153"/>
      <c r="S32" s="153"/>
      <c r="T32" s="153"/>
      <c r="U32" s="153"/>
      <c r="V32" s="153"/>
      <c r="W32" s="153"/>
      <c r="X32" s="153"/>
      <c r="Y32" s="153"/>
      <c r="Z32" s="153"/>
    </row>
    <row r="33">
      <c r="A33" s="28"/>
      <c r="B33" s="186" t="s">
        <v>172</v>
      </c>
      <c r="C33" s="186" t="s">
        <v>175</v>
      </c>
      <c r="D33" s="186" t="s">
        <v>243</v>
      </c>
      <c r="E33" s="187" t="s">
        <v>244</v>
      </c>
      <c r="F33" s="188" t="s">
        <v>245</v>
      </c>
      <c r="G33" s="189" t="s">
        <v>244</v>
      </c>
      <c r="H33" s="190"/>
      <c r="I33" s="157" t="s">
        <v>172</v>
      </c>
      <c r="J33" s="157" t="s">
        <v>175</v>
      </c>
      <c r="K33" s="157" t="s">
        <v>243</v>
      </c>
      <c r="L33" s="157" t="s">
        <v>244</v>
      </c>
      <c r="M33" s="191" t="s">
        <v>245</v>
      </c>
      <c r="N33" s="192" t="s">
        <v>244</v>
      </c>
    </row>
    <row r="34">
      <c r="A34" s="28"/>
      <c r="B34" s="193" t="s">
        <v>246</v>
      </c>
      <c r="C34" s="194" t="s">
        <v>483</v>
      </c>
      <c r="D34" s="366" t="s">
        <v>410</v>
      </c>
      <c r="E34" s="367" t="s">
        <v>248</v>
      </c>
      <c r="F34" s="197">
        <v>0.229</v>
      </c>
      <c r="G34" s="198"/>
      <c r="H34" s="164"/>
      <c r="I34" s="199" t="s">
        <v>246</v>
      </c>
      <c r="J34" s="200">
        <v>515.2</v>
      </c>
      <c r="K34" s="381">
        <v>0.2375</v>
      </c>
      <c r="L34" s="202" t="s">
        <v>248</v>
      </c>
      <c r="M34" s="203">
        <f t="shared" ref="M34:M37" si="1">J34/sum($J$34:$J$37)</f>
        <v>0.2304629837</v>
      </c>
      <c r="N34" s="198"/>
    </row>
    <row r="35">
      <c r="A35" s="28"/>
      <c r="B35" s="204" t="s">
        <v>249</v>
      </c>
      <c r="C35" s="205" t="s">
        <v>484</v>
      </c>
      <c r="D35" s="369" t="s">
        <v>412</v>
      </c>
      <c r="E35" s="212" t="s">
        <v>248</v>
      </c>
      <c r="F35" s="208">
        <v>0.297</v>
      </c>
      <c r="G35" s="209"/>
      <c r="H35" s="164"/>
      <c r="I35" s="204" t="s">
        <v>249</v>
      </c>
      <c r="J35" s="210">
        <v>772.3</v>
      </c>
      <c r="K35" s="382">
        <v>0.3375</v>
      </c>
      <c r="L35" s="212" t="s">
        <v>248</v>
      </c>
      <c r="M35" s="213">
        <f t="shared" si="1"/>
        <v>0.3454708119</v>
      </c>
      <c r="N35" s="209"/>
    </row>
    <row r="36">
      <c r="A36" s="28"/>
      <c r="B36" s="214" t="s">
        <v>251</v>
      </c>
      <c r="C36" s="215" t="s">
        <v>485</v>
      </c>
      <c r="D36" s="370" t="s">
        <v>414</v>
      </c>
      <c r="E36" s="222" t="s">
        <v>248</v>
      </c>
      <c r="F36" s="218">
        <v>0.25</v>
      </c>
      <c r="G36" s="219"/>
      <c r="H36" s="164"/>
      <c r="I36" s="214" t="s">
        <v>251</v>
      </c>
      <c r="J36" s="220">
        <v>644.6</v>
      </c>
      <c r="K36" s="383">
        <v>0.2875</v>
      </c>
      <c r="L36" s="222" t="s">
        <v>248</v>
      </c>
      <c r="M36" s="223">
        <f t="shared" si="1"/>
        <v>0.2883471259</v>
      </c>
      <c r="N36" s="219"/>
    </row>
    <row r="37">
      <c r="A37" s="28"/>
      <c r="B37" s="224" t="s">
        <v>253</v>
      </c>
      <c r="C37" s="225" t="s">
        <v>486</v>
      </c>
      <c r="D37" s="371" t="s">
        <v>416</v>
      </c>
      <c r="E37" s="232" t="s">
        <v>248</v>
      </c>
      <c r="F37" s="228">
        <v>0.137</v>
      </c>
      <c r="G37" s="229"/>
      <c r="H37" s="164"/>
      <c r="I37" s="224" t="s">
        <v>253</v>
      </c>
      <c r="J37" s="230">
        <v>303.4</v>
      </c>
      <c r="K37" s="384">
        <v>0.1375</v>
      </c>
      <c r="L37" s="232" t="s">
        <v>248</v>
      </c>
      <c r="M37" s="233">
        <f t="shared" si="1"/>
        <v>0.1357190785</v>
      </c>
      <c r="N37" s="229"/>
    </row>
    <row r="38">
      <c r="A38" s="28"/>
      <c r="B38" s="28"/>
      <c r="C38" s="28"/>
      <c r="D38" s="28"/>
      <c r="E38" s="28"/>
      <c r="F38" s="28"/>
      <c r="G38" s="28"/>
    </row>
    <row r="39" ht="30.0" customHeight="1">
      <c r="A39" s="142"/>
      <c r="B39" s="234" t="s">
        <v>255</v>
      </c>
      <c r="C39" s="235"/>
      <c r="D39" s="235"/>
      <c r="E39" s="235"/>
      <c r="F39" s="235"/>
      <c r="G39" s="235"/>
      <c r="H39" s="235"/>
      <c r="I39" s="235"/>
      <c r="J39" s="235"/>
      <c r="K39" s="235"/>
      <c r="L39" s="235"/>
      <c r="M39" s="235"/>
      <c r="N39" s="236"/>
      <c r="O39" s="146"/>
      <c r="P39" s="146"/>
      <c r="Q39" s="146"/>
      <c r="R39" s="146"/>
      <c r="S39" s="146"/>
      <c r="T39" s="146"/>
      <c r="U39" s="146"/>
      <c r="V39" s="146"/>
      <c r="W39" s="146"/>
      <c r="X39" s="146"/>
      <c r="Y39" s="146"/>
      <c r="Z39" s="146"/>
    </row>
    <row r="40" ht="25.5" customHeight="1">
      <c r="A40" s="147"/>
      <c r="B40" s="237" t="s">
        <v>256</v>
      </c>
      <c r="C40" s="235"/>
      <c r="D40" s="235"/>
      <c r="E40" s="235"/>
      <c r="F40" s="235"/>
      <c r="G40" s="236"/>
      <c r="H40" s="185"/>
      <c r="I40" s="152" t="s">
        <v>257</v>
      </c>
      <c r="J40" s="149"/>
      <c r="K40" s="149"/>
      <c r="L40" s="149"/>
      <c r="M40" s="149"/>
      <c r="N40" s="150"/>
      <c r="O40" s="153"/>
      <c r="P40" s="153"/>
      <c r="Q40" s="153"/>
      <c r="R40" s="153"/>
      <c r="S40" s="153"/>
      <c r="T40" s="153"/>
      <c r="U40" s="153"/>
      <c r="V40" s="153"/>
      <c r="W40" s="153"/>
      <c r="X40" s="153"/>
      <c r="Y40" s="153"/>
      <c r="Z40" s="153"/>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385"/>
      <c r="B42" s="377" t="s">
        <v>262</v>
      </c>
      <c r="C42" s="243" t="s">
        <v>443</v>
      </c>
      <c r="D42" s="243">
        <v>2014.09</v>
      </c>
      <c r="E42" s="246">
        <v>1.0</v>
      </c>
      <c r="F42" s="386"/>
      <c r="G42" s="235"/>
      <c r="H42" s="387"/>
      <c r="I42" s="377" t="s">
        <v>262</v>
      </c>
      <c r="J42" s="243" t="s">
        <v>443</v>
      </c>
      <c r="K42" s="243">
        <v>2235.5</v>
      </c>
      <c r="L42" s="246">
        <f>K42/2205</f>
        <v>1.0138322</v>
      </c>
      <c r="M42" s="386"/>
      <c r="N42" s="235"/>
      <c r="O42" s="388"/>
      <c r="P42" s="388"/>
      <c r="Q42" s="388"/>
      <c r="R42" s="388"/>
      <c r="S42" s="388"/>
      <c r="T42" s="388"/>
      <c r="U42" s="388"/>
      <c r="V42" s="388"/>
      <c r="W42" s="388"/>
      <c r="X42" s="388"/>
      <c r="Y42" s="388"/>
      <c r="Z42" s="388"/>
    </row>
    <row r="43">
      <c r="A43" s="385"/>
      <c r="B43" s="377" t="s">
        <v>158</v>
      </c>
      <c r="C43" s="243" t="s">
        <v>444</v>
      </c>
      <c r="D43" s="243">
        <v>84.32</v>
      </c>
      <c r="E43" s="246">
        <v>1.0</v>
      </c>
      <c r="F43" s="386"/>
      <c r="G43" s="235"/>
      <c r="H43" s="387"/>
      <c r="I43" s="377" t="s">
        <v>158</v>
      </c>
      <c r="J43" s="243" t="s">
        <v>444</v>
      </c>
      <c r="K43" s="243">
        <v>72.1</v>
      </c>
      <c r="L43" s="246">
        <v>0.872</v>
      </c>
      <c r="M43" s="386"/>
      <c r="N43" s="235"/>
      <c r="O43" s="388"/>
      <c r="P43" s="388"/>
      <c r="Q43" s="388"/>
      <c r="R43" s="388"/>
      <c r="S43" s="388"/>
      <c r="T43" s="388"/>
      <c r="U43" s="388"/>
      <c r="V43" s="388"/>
      <c r="W43" s="388"/>
      <c r="X43" s="388"/>
      <c r="Y43" s="388"/>
      <c r="Z43" s="388"/>
    </row>
    <row r="44">
      <c r="A44" s="385"/>
      <c r="B44" s="377" t="s">
        <v>263</v>
      </c>
      <c r="C44" s="243" t="s">
        <v>445</v>
      </c>
      <c r="D44" s="243">
        <v>66.87</v>
      </c>
      <c r="E44" s="246">
        <v>1.0</v>
      </c>
      <c r="F44" s="386"/>
      <c r="G44" s="235"/>
      <c r="H44" s="387"/>
      <c r="I44" s="377" t="s">
        <v>263</v>
      </c>
      <c r="J44" s="243" t="s">
        <v>445</v>
      </c>
      <c r="K44" s="243">
        <v>69.7</v>
      </c>
      <c r="L44" s="246">
        <f>K44/66.9</f>
        <v>1.041853513</v>
      </c>
      <c r="M44" s="386"/>
      <c r="N44" s="235"/>
      <c r="O44" s="388"/>
      <c r="P44" s="388"/>
      <c r="Q44" s="388"/>
      <c r="R44" s="388"/>
      <c r="S44" s="388"/>
      <c r="T44" s="388"/>
      <c r="U44" s="388"/>
      <c r="V44" s="388"/>
      <c r="W44" s="388"/>
      <c r="X44" s="388"/>
      <c r="Y44" s="388"/>
      <c r="Z44" s="388"/>
    </row>
    <row r="45">
      <c r="A45" s="385"/>
      <c r="B45" s="377" t="s">
        <v>264</v>
      </c>
      <c r="C45" s="243" t="s">
        <v>447</v>
      </c>
      <c r="D45" s="243">
        <v>279.68</v>
      </c>
      <c r="E45" s="246">
        <v>1.0</v>
      </c>
      <c r="F45" s="386"/>
      <c r="G45" s="235"/>
      <c r="H45" s="387"/>
      <c r="I45" s="377" t="s">
        <v>264</v>
      </c>
      <c r="J45" s="243" t="s">
        <v>447</v>
      </c>
      <c r="K45" s="243">
        <v>344.2</v>
      </c>
      <c r="L45" s="246">
        <f>K45/303.2</f>
        <v>1.135224274</v>
      </c>
      <c r="M45" s="386"/>
      <c r="N45" s="235"/>
      <c r="O45" s="388"/>
      <c r="P45" s="388"/>
      <c r="Q45" s="388"/>
      <c r="R45" s="388"/>
      <c r="S45" s="388"/>
      <c r="T45" s="388"/>
      <c r="U45" s="388"/>
      <c r="V45" s="388"/>
      <c r="W45" s="388"/>
      <c r="X45" s="388"/>
      <c r="Y45" s="388"/>
      <c r="Z45" s="388"/>
    </row>
    <row r="46">
      <c r="A46" s="385"/>
      <c r="B46" s="377" t="s">
        <v>265</v>
      </c>
      <c r="C46" s="243" t="s">
        <v>417</v>
      </c>
      <c r="D46" s="243">
        <v>2281.03</v>
      </c>
      <c r="E46" s="246">
        <v>1.0</v>
      </c>
      <c r="F46" s="386"/>
      <c r="G46" s="235"/>
      <c r="H46" s="387"/>
      <c r="I46" s="377" t="s">
        <v>265</v>
      </c>
      <c r="J46" s="243" t="s">
        <v>417</v>
      </c>
      <c r="K46" s="243">
        <v>3002.9</v>
      </c>
      <c r="L46" s="246">
        <f>K46/2300</f>
        <v>1.305608696</v>
      </c>
      <c r="M46" s="386"/>
      <c r="N46" s="235"/>
      <c r="O46" s="388"/>
      <c r="P46" s="388"/>
      <c r="Q46" s="388"/>
      <c r="R46" s="388"/>
      <c r="S46" s="388"/>
      <c r="T46" s="388"/>
      <c r="U46" s="388"/>
      <c r="V46" s="388"/>
      <c r="W46" s="388"/>
      <c r="X46" s="388"/>
      <c r="Y46" s="388"/>
      <c r="Z46" s="388"/>
    </row>
    <row r="47">
      <c r="A47" s="385"/>
      <c r="B47" s="377" t="s">
        <v>267</v>
      </c>
      <c r="C47" s="243" t="s">
        <v>487</v>
      </c>
      <c r="D47" s="243">
        <v>19.02</v>
      </c>
      <c r="E47" s="246">
        <v>1.0</v>
      </c>
      <c r="F47" s="386"/>
      <c r="G47" s="235"/>
      <c r="H47" s="387"/>
      <c r="I47" s="377" t="s">
        <v>267</v>
      </c>
      <c r="J47" s="243" t="s">
        <v>487</v>
      </c>
      <c r="K47" s="243">
        <v>17.5</v>
      </c>
      <c r="L47" s="246">
        <v>1.0</v>
      </c>
      <c r="M47" s="386"/>
      <c r="N47" s="235"/>
      <c r="O47" s="388"/>
      <c r="P47" s="388"/>
      <c r="Q47" s="388"/>
      <c r="R47" s="388"/>
      <c r="S47" s="388"/>
      <c r="T47" s="388"/>
      <c r="U47" s="388"/>
      <c r="V47" s="388"/>
      <c r="W47" s="388"/>
      <c r="X47" s="388"/>
      <c r="Y47" s="388"/>
      <c r="Z47" s="388"/>
    </row>
    <row r="48">
      <c r="A48" s="385"/>
      <c r="B48" s="377" t="s">
        <v>269</v>
      </c>
      <c r="C48" s="243" t="s">
        <v>488</v>
      </c>
      <c r="D48" s="243">
        <v>82.06</v>
      </c>
      <c r="E48" s="246">
        <v>1.0</v>
      </c>
      <c r="F48" s="386"/>
      <c r="G48" s="235"/>
      <c r="H48" s="389"/>
      <c r="I48" s="377" t="s">
        <v>269</v>
      </c>
      <c r="J48" s="243" t="s">
        <v>488</v>
      </c>
      <c r="K48" s="243">
        <v>14.4</v>
      </c>
      <c r="L48" s="246">
        <v>1.0</v>
      </c>
      <c r="M48" s="386"/>
      <c r="N48" s="235"/>
      <c r="O48" s="388"/>
      <c r="P48" s="388"/>
      <c r="Q48" s="388"/>
      <c r="R48" s="388"/>
      <c r="S48" s="388"/>
      <c r="T48" s="388"/>
      <c r="U48" s="388"/>
      <c r="V48" s="388"/>
      <c r="W48" s="388"/>
      <c r="X48" s="388"/>
      <c r="Y48" s="388"/>
      <c r="Z48" s="388"/>
    </row>
    <row r="49">
      <c r="A49" s="385"/>
      <c r="B49" s="377" t="s">
        <v>271</v>
      </c>
      <c r="C49" s="243" t="s">
        <v>489</v>
      </c>
      <c r="D49" s="243">
        <v>14.0</v>
      </c>
      <c r="E49" s="246">
        <v>1.0</v>
      </c>
      <c r="F49" s="386"/>
      <c r="G49" s="235"/>
      <c r="H49" s="389"/>
      <c r="I49" s="377" t="s">
        <v>271</v>
      </c>
      <c r="J49" s="243" t="s">
        <v>489</v>
      </c>
      <c r="K49" s="243">
        <v>9.5</v>
      </c>
      <c r="L49" s="246">
        <v>1.0</v>
      </c>
      <c r="M49" s="386"/>
      <c r="N49" s="235"/>
      <c r="O49" s="388"/>
      <c r="P49" s="388"/>
      <c r="Q49" s="388"/>
      <c r="R49" s="388"/>
      <c r="S49" s="388"/>
      <c r="T49" s="388"/>
      <c r="U49" s="388"/>
      <c r="V49" s="388"/>
      <c r="W49" s="388"/>
      <c r="X49" s="388"/>
      <c r="Y49" s="388"/>
      <c r="Z49" s="388"/>
    </row>
    <row r="50">
      <c r="A50" s="385"/>
      <c r="B50" s="377" t="s">
        <v>304</v>
      </c>
      <c r="C50" s="243" t="s">
        <v>490</v>
      </c>
      <c r="D50" s="243">
        <v>4632.94</v>
      </c>
      <c r="E50" s="246">
        <v>1.0</v>
      </c>
      <c r="F50" s="386"/>
      <c r="G50" s="235"/>
      <c r="H50" s="389"/>
      <c r="I50" s="377" t="s">
        <v>304</v>
      </c>
      <c r="J50" s="243" t="s">
        <v>490</v>
      </c>
      <c r="K50" s="243">
        <v>2185.9</v>
      </c>
      <c r="L50" s="246">
        <v>0.49</v>
      </c>
      <c r="M50" s="386"/>
      <c r="N50" s="235"/>
      <c r="O50" s="388"/>
      <c r="P50" s="388"/>
      <c r="Q50" s="388"/>
      <c r="R50" s="388"/>
      <c r="S50" s="388"/>
      <c r="T50" s="388"/>
      <c r="U50" s="388"/>
      <c r="V50" s="388"/>
      <c r="W50" s="388"/>
      <c r="X50" s="388"/>
      <c r="Y50" s="388"/>
      <c r="Z50" s="388"/>
    </row>
    <row r="51">
      <c r="A51" s="385"/>
      <c r="B51" s="377" t="s">
        <v>297</v>
      </c>
      <c r="C51" s="243" t="s">
        <v>491</v>
      </c>
      <c r="D51" s="243">
        <v>920.98</v>
      </c>
      <c r="E51" s="246">
        <v>1.0</v>
      </c>
      <c r="F51" s="386"/>
      <c r="G51" s="235"/>
      <c r="H51" s="389"/>
      <c r="I51" s="377" t="s">
        <v>297</v>
      </c>
      <c r="J51" s="243" t="s">
        <v>491</v>
      </c>
      <c r="K51" s="243">
        <v>830.3</v>
      </c>
      <c r="L51" s="246">
        <v>1.0</v>
      </c>
      <c r="M51" s="386"/>
      <c r="N51" s="235"/>
      <c r="O51" s="388"/>
      <c r="P51" s="388"/>
      <c r="Q51" s="388"/>
      <c r="R51" s="388"/>
      <c r="S51" s="388"/>
      <c r="T51" s="388"/>
      <c r="U51" s="388"/>
      <c r="V51" s="388"/>
      <c r="W51" s="388"/>
      <c r="X51" s="388"/>
      <c r="Y51" s="388"/>
      <c r="Z51" s="388"/>
    </row>
    <row r="52">
      <c r="A52" s="385"/>
      <c r="B52" s="377" t="s">
        <v>492</v>
      </c>
      <c r="C52" s="243" t="s">
        <v>493</v>
      </c>
      <c r="D52" s="243">
        <v>4632.94</v>
      </c>
      <c r="E52" s="246">
        <v>1.0</v>
      </c>
      <c r="F52" s="386"/>
      <c r="G52" s="235"/>
      <c r="H52" s="389"/>
      <c r="I52" s="377" t="s">
        <v>492</v>
      </c>
      <c r="J52" s="243" t="s">
        <v>493</v>
      </c>
      <c r="K52" s="243">
        <v>367.5</v>
      </c>
      <c r="L52" s="246">
        <v>1.0</v>
      </c>
      <c r="M52" s="386"/>
      <c r="N52" s="235"/>
      <c r="O52" s="388"/>
      <c r="P52" s="388"/>
      <c r="Q52" s="388"/>
      <c r="R52" s="388"/>
      <c r="S52" s="388"/>
      <c r="T52" s="388"/>
      <c r="U52" s="388"/>
      <c r="V52" s="388"/>
      <c r="W52" s="388"/>
      <c r="X52" s="388"/>
      <c r="Y52" s="388"/>
      <c r="Z52" s="388"/>
    </row>
    <row r="53">
      <c r="A53" s="385"/>
      <c r="B53" s="377" t="s">
        <v>313</v>
      </c>
      <c r="C53" s="243" t="s">
        <v>494</v>
      </c>
      <c r="D53" s="243">
        <v>34.41</v>
      </c>
      <c r="E53" s="246">
        <v>1.0</v>
      </c>
      <c r="F53" s="386"/>
      <c r="G53" s="235"/>
      <c r="H53" s="389"/>
      <c r="I53" s="377" t="s">
        <v>313</v>
      </c>
      <c r="J53" s="243" t="s">
        <v>494</v>
      </c>
      <c r="K53" s="243">
        <v>24.5</v>
      </c>
      <c r="L53" s="246">
        <v>0.815</v>
      </c>
      <c r="M53" s="386"/>
      <c r="N53" s="235"/>
      <c r="O53" s="388"/>
      <c r="P53" s="388"/>
      <c r="Q53" s="388"/>
      <c r="R53" s="388"/>
      <c r="S53" s="388"/>
      <c r="T53" s="388"/>
      <c r="U53" s="388"/>
      <c r="V53" s="388"/>
      <c r="W53" s="388"/>
      <c r="X53" s="388"/>
      <c r="Y53" s="388"/>
      <c r="Z53" s="388"/>
    </row>
    <row r="54">
      <c r="A54" s="28"/>
      <c r="B54" s="28"/>
      <c r="C54" s="28"/>
      <c r="D54" s="28"/>
      <c r="E54" s="28"/>
      <c r="F54" s="28"/>
      <c r="G54" s="28"/>
    </row>
    <row r="55" ht="30.0" customHeight="1">
      <c r="A55" s="142"/>
      <c r="B55" s="234" t="s">
        <v>273</v>
      </c>
      <c r="C55" s="235"/>
      <c r="D55" s="235"/>
      <c r="E55" s="235"/>
      <c r="F55" s="235"/>
      <c r="G55" s="235"/>
      <c r="H55" s="235"/>
      <c r="I55" s="235"/>
      <c r="J55" s="235"/>
      <c r="K55" s="235"/>
      <c r="L55" s="235"/>
      <c r="M55" s="235"/>
      <c r="N55" s="236"/>
      <c r="O55" s="146"/>
      <c r="P55" s="146"/>
      <c r="Q55" s="146"/>
      <c r="R55" s="146"/>
      <c r="S55" s="146"/>
      <c r="T55" s="146"/>
      <c r="U55" s="146"/>
      <c r="V55" s="146"/>
      <c r="W55" s="146"/>
      <c r="X55" s="146"/>
      <c r="Y55" s="146"/>
      <c r="Z55" s="146"/>
    </row>
    <row r="56" ht="25.5" customHeight="1">
      <c r="A56" s="147"/>
      <c r="B56" s="237" t="s">
        <v>274</v>
      </c>
      <c r="C56" s="235"/>
      <c r="D56" s="235"/>
      <c r="E56" s="235"/>
      <c r="F56" s="235"/>
      <c r="G56" s="236"/>
      <c r="H56" s="185"/>
      <c r="I56" s="152" t="s">
        <v>275</v>
      </c>
      <c r="J56" s="149"/>
      <c r="K56" s="149"/>
      <c r="L56" s="149"/>
      <c r="M56" s="149"/>
      <c r="N56" s="150"/>
      <c r="O56" s="153"/>
      <c r="P56" s="153"/>
      <c r="Q56" s="153"/>
      <c r="R56" s="153"/>
      <c r="S56" s="153"/>
      <c r="T56" s="153"/>
      <c r="U56" s="153"/>
      <c r="V56" s="153"/>
      <c r="W56" s="153"/>
      <c r="X56" s="153"/>
      <c r="Y56" s="153"/>
      <c r="Z56" s="153"/>
    </row>
    <row r="57">
      <c r="A57" s="28"/>
      <c r="B57" s="238" t="s">
        <v>258</v>
      </c>
      <c r="C57" s="238" t="s">
        <v>276</v>
      </c>
      <c r="D57" s="238" t="s">
        <v>260</v>
      </c>
      <c r="E57" s="376" t="s">
        <v>261</v>
      </c>
      <c r="F57" s="251" t="s">
        <v>244</v>
      </c>
      <c r="G57" s="252"/>
      <c r="H57" s="190"/>
      <c r="I57" s="239" t="s">
        <v>258</v>
      </c>
      <c r="J57" s="239" t="s">
        <v>276</v>
      </c>
      <c r="K57" s="239" t="s">
        <v>260</v>
      </c>
      <c r="L57" s="240" t="s">
        <v>261</v>
      </c>
      <c r="M57" s="390" t="s">
        <v>244</v>
      </c>
      <c r="N57" s="150"/>
    </row>
    <row r="58">
      <c r="A58" s="385"/>
      <c r="B58" s="377" t="s">
        <v>277</v>
      </c>
      <c r="C58" s="243" t="s">
        <v>278</v>
      </c>
      <c r="D58" s="243">
        <v>0.11</v>
      </c>
      <c r="E58" s="246">
        <v>0.1222222</v>
      </c>
      <c r="F58" s="391"/>
      <c r="G58" s="256"/>
      <c r="H58" s="387"/>
      <c r="I58" s="377" t="s">
        <v>277</v>
      </c>
      <c r="J58" s="243" t="s">
        <v>278</v>
      </c>
      <c r="K58" s="243">
        <v>0.0487</v>
      </c>
      <c r="L58" s="246">
        <v>0.054</v>
      </c>
      <c r="M58" s="391"/>
      <c r="N58" s="256"/>
      <c r="O58" s="388"/>
      <c r="P58" s="388"/>
      <c r="Q58" s="388"/>
      <c r="R58" s="388"/>
      <c r="S58" s="388"/>
      <c r="T58" s="388"/>
      <c r="U58" s="388"/>
      <c r="V58" s="388"/>
      <c r="W58" s="388"/>
      <c r="X58" s="388"/>
      <c r="Y58" s="388"/>
      <c r="Z58" s="388"/>
    </row>
    <row r="59">
      <c r="A59" s="385"/>
      <c r="B59" s="377" t="s">
        <v>280</v>
      </c>
      <c r="C59" s="243" t="s">
        <v>281</v>
      </c>
      <c r="D59" s="243">
        <v>88.16</v>
      </c>
      <c r="E59" s="246">
        <v>0.9795556</v>
      </c>
      <c r="F59" s="386"/>
      <c r="G59" s="235"/>
      <c r="H59" s="387"/>
      <c r="I59" s="377" t="s">
        <v>280</v>
      </c>
      <c r="J59" s="243" t="s">
        <v>281</v>
      </c>
      <c r="K59" s="243">
        <v>52.5</v>
      </c>
      <c r="L59" s="246">
        <v>0.584</v>
      </c>
      <c r="M59" s="386"/>
      <c r="N59" s="235"/>
      <c r="O59" s="388"/>
      <c r="P59" s="388"/>
      <c r="Q59" s="388"/>
      <c r="R59" s="388"/>
      <c r="S59" s="388"/>
      <c r="T59" s="388"/>
      <c r="U59" s="388"/>
      <c r="V59" s="388"/>
      <c r="W59" s="388"/>
      <c r="X59" s="388"/>
      <c r="Y59" s="388"/>
      <c r="Z59" s="388"/>
    </row>
    <row r="60">
      <c r="A60" s="385"/>
      <c r="B60" s="377" t="s">
        <v>282</v>
      </c>
      <c r="C60" s="243" t="s">
        <v>283</v>
      </c>
      <c r="D60" s="243">
        <v>0.01</v>
      </c>
      <c r="E60" s="246">
        <v>0.6666667</v>
      </c>
      <c r="F60" s="386"/>
      <c r="G60" s="235"/>
      <c r="H60" s="387"/>
      <c r="I60" s="377" t="s">
        <v>282</v>
      </c>
      <c r="J60" s="243" t="s">
        <v>283</v>
      </c>
      <c r="K60" s="243">
        <v>0.0</v>
      </c>
      <c r="L60" s="246">
        <v>0.0</v>
      </c>
      <c r="M60" s="386"/>
      <c r="N60" s="235"/>
      <c r="O60" s="388"/>
      <c r="P60" s="388"/>
      <c r="Q60" s="388"/>
      <c r="R60" s="388"/>
      <c r="S60" s="388"/>
      <c r="T60" s="388"/>
      <c r="U60" s="388"/>
      <c r="V60" s="388"/>
      <c r="W60" s="388"/>
      <c r="X60" s="388"/>
      <c r="Y60" s="388"/>
      <c r="Z60" s="388"/>
    </row>
    <row r="61">
      <c r="A61" s="385"/>
      <c r="B61" s="377" t="s">
        <v>284</v>
      </c>
      <c r="C61" s="243" t="s">
        <v>285</v>
      </c>
      <c r="D61" s="243">
        <v>13.26</v>
      </c>
      <c r="E61" s="246">
        <v>0.884</v>
      </c>
      <c r="F61" s="386"/>
      <c r="G61" s="235"/>
      <c r="H61" s="387"/>
      <c r="I61" s="377" t="s">
        <v>284</v>
      </c>
      <c r="J61" s="243" t="s">
        <v>285</v>
      </c>
      <c r="K61" s="243">
        <v>4.9</v>
      </c>
      <c r="L61" s="246">
        <v>0.328</v>
      </c>
      <c r="M61" s="386"/>
      <c r="N61" s="235"/>
      <c r="O61" s="388"/>
      <c r="P61" s="388"/>
      <c r="Q61" s="388"/>
      <c r="R61" s="388"/>
      <c r="S61" s="388"/>
      <c r="T61" s="388"/>
      <c r="U61" s="388"/>
      <c r="V61" s="388"/>
      <c r="W61" s="388"/>
      <c r="X61" s="388"/>
      <c r="Y61" s="388"/>
      <c r="Z61" s="388"/>
    </row>
    <row r="62">
      <c r="A62" s="385"/>
      <c r="B62" s="377" t="s">
        <v>286</v>
      </c>
      <c r="C62" s="243">
        <v>0.1</v>
      </c>
      <c r="D62" s="243">
        <v>0.06</v>
      </c>
      <c r="E62" s="246">
        <v>0.5</v>
      </c>
      <c r="F62" s="386"/>
      <c r="G62" s="235"/>
      <c r="H62" s="387"/>
      <c r="I62" s="377" t="s">
        <v>286</v>
      </c>
      <c r="J62" s="243">
        <v>0.1</v>
      </c>
      <c r="K62" s="243">
        <v>0.0443</v>
      </c>
      <c r="L62" s="246">
        <v>0.369</v>
      </c>
      <c r="M62" s="386"/>
      <c r="N62" s="235"/>
      <c r="O62" s="388"/>
      <c r="P62" s="388"/>
      <c r="Q62" s="388"/>
      <c r="R62" s="388"/>
      <c r="S62" s="388"/>
      <c r="T62" s="388"/>
      <c r="U62" s="388"/>
      <c r="V62" s="388"/>
      <c r="W62" s="388"/>
      <c r="X62" s="388"/>
      <c r="Y62" s="388"/>
      <c r="Z62" s="388"/>
    </row>
    <row r="63">
      <c r="A63" s="385"/>
      <c r="B63" s="377" t="s">
        <v>287</v>
      </c>
      <c r="C63" s="243">
        <v>1.2</v>
      </c>
      <c r="D63" s="243">
        <v>1.84</v>
      </c>
      <c r="E63" s="246">
        <v>1.0</v>
      </c>
      <c r="F63" s="386"/>
      <c r="G63" s="235"/>
      <c r="H63" s="387"/>
      <c r="I63" s="377" t="s">
        <v>287</v>
      </c>
      <c r="J63" s="243">
        <v>1.2</v>
      </c>
      <c r="K63" s="243">
        <v>1.9</v>
      </c>
      <c r="L63" s="246">
        <v>1.0</v>
      </c>
      <c r="M63" s="386"/>
      <c r="N63" s="235"/>
      <c r="O63" s="388"/>
      <c r="P63" s="388"/>
      <c r="Q63" s="388"/>
      <c r="R63" s="388"/>
      <c r="S63" s="388"/>
      <c r="T63" s="388"/>
      <c r="U63" s="388"/>
      <c r="V63" s="388"/>
      <c r="W63" s="388"/>
      <c r="X63" s="388"/>
      <c r="Y63" s="388"/>
      <c r="Z63" s="388"/>
    </row>
    <row r="64">
      <c r="A64" s="385"/>
      <c r="B64" s="377" t="s">
        <v>288</v>
      </c>
      <c r="C64" s="243">
        <v>1.3</v>
      </c>
      <c r="D64" s="243">
        <v>1.7</v>
      </c>
      <c r="E64" s="246">
        <v>1.0</v>
      </c>
      <c r="F64" s="386"/>
      <c r="G64" s="235"/>
      <c r="H64" s="387"/>
      <c r="I64" s="377" t="s">
        <v>288</v>
      </c>
      <c r="J64" s="243">
        <v>1.3</v>
      </c>
      <c r="K64" s="243">
        <v>1.2</v>
      </c>
      <c r="L64" s="246">
        <v>0.892</v>
      </c>
      <c r="M64" s="386"/>
      <c r="N64" s="235"/>
      <c r="O64" s="388"/>
      <c r="P64" s="388"/>
      <c r="Q64" s="388"/>
      <c r="R64" s="388"/>
      <c r="S64" s="388"/>
      <c r="T64" s="388"/>
      <c r="U64" s="388"/>
      <c r="V64" s="388"/>
      <c r="W64" s="388"/>
      <c r="X64" s="388"/>
      <c r="Y64" s="388"/>
      <c r="Z64" s="388"/>
    </row>
    <row r="65">
      <c r="A65" s="385"/>
      <c r="B65" s="377" t="s">
        <v>289</v>
      </c>
      <c r="C65" s="243" t="s">
        <v>290</v>
      </c>
      <c r="D65" s="243">
        <v>27.6</v>
      </c>
      <c r="E65" s="246">
        <v>1.0</v>
      </c>
      <c r="F65" s="386"/>
      <c r="G65" s="235"/>
      <c r="H65" s="387"/>
      <c r="I65" s="377" t="s">
        <v>289</v>
      </c>
      <c r="J65" s="243" t="s">
        <v>290</v>
      </c>
      <c r="K65" s="243">
        <v>13.8</v>
      </c>
      <c r="L65" s="246">
        <v>0.865</v>
      </c>
      <c r="M65" s="386"/>
      <c r="N65" s="235"/>
      <c r="O65" s="388"/>
      <c r="P65" s="388"/>
      <c r="Q65" s="388"/>
      <c r="R65" s="388"/>
      <c r="S65" s="388"/>
      <c r="T65" s="388"/>
      <c r="U65" s="388"/>
      <c r="V65" s="388"/>
      <c r="W65" s="388"/>
      <c r="X65" s="388"/>
      <c r="Y65" s="388"/>
      <c r="Z65" s="388"/>
    </row>
    <row r="66">
      <c r="A66" s="385"/>
      <c r="B66" s="377" t="s">
        <v>291</v>
      </c>
      <c r="C66" s="243">
        <v>5.0</v>
      </c>
      <c r="D66" s="243">
        <v>4.72</v>
      </c>
      <c r="E66" s="246">
        <v>0.944</v>
      </c>
      <c r="F66" s="386"/>
      <c r="G66" s="235"/>
      <c r="H66" s="387"/>
      <c r="I66" s="377" t="s">
        <v>291</v>
      </c>
      <c r="J66" s="243">
        <v>5.0</v>
      </c>
      <c r="K66" s="243">
        <v>2.6</v>
      </c>
      <c r="L66" s="246">
        <v>0.528</v>
      </c>
      <c r="M66" s="386"/>
      <c r="N66" s="235"/>
      <c r="O66" s="388"/>
      <c r="P66" s="388"/>
      <c r="Q66" s="388"/>
      <c r="R66" s="388"/>
      <c r="S66" s="388"/>
      <c r="T66" s="388"/>
      <c r="U66" s="388"/>
      <c r="V66" s="388"/>
      <c r="W66" s="388"/>
      <c r="X66" s="388"/>
      <c r="Y66" s="388"/>
      <c r="Z66" s="388"/>
    </row>
    <row r="67">
      <c r="A67" s="385"/>
      <c r="B67" s="377" t="s">
        <v>292</v>
      </c>
      <c r="C67" s="243" t="s">
        <v>293</v>
      </c>
      <c r="D67" s="243">
        <v>2.28</v>
      </c>
      <c r="E67" s="246">
        <v>1.0</v>
      </c>
      <c r="F67" s="386"/>
      <c r="G67" s="235"/>
      <c r="H67" s="387"/>
      <c r="I67" s="377" t="s">
        <v>292</v>
      </c>
      <c r="J67" s="243" t="s">
        <v>293</v>
      </c>
      <c r="K67" s="243">
        <v>1.2</v>
      </c>
      <c r="L67" s="246">
        <v>0.901</v>
      </c>
      <c r="M67" s="386"/>
      <c r="N67" s="235"/>
      <c r="O67" s="388"/>
      <c r="P67" s="388"/>
      <c r="Q67" s="388"/>
      <c r="R67" s="388"/>
      <c r="S67" s="388"/>
      <c r="T67" s="388"/>
      <c r="U67" s="388"/>
      <c r="V67" s="388"/>
      <c r="W67" s="388"/>
      <c r="X67" s="388"/>
      <c r="Y67" s="388"/>
      <c r="Z67" s="388"/>
    </row>
    <row r="68">
      <c r="A68" s="385"/>
      <c r="B68" s="377" t="s">
        <v>294</v>
      </c>
      <c r="C68" s="243" t="s">
        <v>295</v>
      </c>
      <c r="D68" s="243">
        <v>0.31</v>
      </c>
      <c r="E68" s="246">
        <v>0.62</v>
      </c>
      <c r="F68" s="386"/>
      <c r="G68" s="235"/>
      <c r="H68" s="387"/>
      <c r="I68" s="377" t="s">
        <v>294</v>
      </c>
      <c r="J68" s="243" t="s">
        <v>295</v>
      </c>
      <c r="K68" s="243">
        <v>0.5</v>
      </c>
      <c r="L68" s="246">
        <v>1.0</v>
      </c>
      <c r="M68" s="386"/>
      <c r="N68" s="235"/>
      <c r="O68" s="388"/>
      <c r="P68" s="388"/>
      <c r="Q68" s="388"/>
      <c r="R68" s="388"/>
      <c r="S68" s="388"/>
      <c r="T68" s="388"/>
      <c r="U68" s="388"/>
      <c r="V68" s="388"/>
      <c r="W68" s="388"/>
      <c r="X68" s="388"/>
      <c r="Y68" s="388"/>
      <c r="Z68" s="388"/>
    </row>
    <row r="69">
      <c r="A69" s="385"/>
      <c r="B69" s="377" t="s">
        <v>296</v>
      </c>
      <c r="C69" s="243">
        <v>0.0024</v>
      </c>
      <c r="D69" s="243">
        <v>0.0</v>
      </c>
      <c r="E69" s="246">
        <v>0.0</v>
      </c>
      <c r="F69" s="386"/>
      <c r="G69" s="235"/>
      <c r="H69" s="387"/>
      <c r="I69" s="377" t="s">
        <v>296</v>
      </c>
      <c r="J69" s="243">
        <v>0.0024</v>
      </c>
      <c r="K69" s="243">
        <v>0.0</v>
      </c>
      <c r="L69" s="246">
        <v>0.0</v>
      </c>
      <c r="M69" s="386"/>
      <c r="N69" s="235"/>
      <c r="O69" s="388"/>
      <c r="P69" s="388"/>
      <c r="Q69" s="388"/>
      <c r="R69" s="388"/>
      <c r="S69" s="388"/>
      <c r="T69" s="388"/>
      <c r="U69" s="388"/>
      <c r="V69" s="388"/>
      <c r="W69" s="388"/>
      <c r="X69" s="388"/>
      <c r="Y69" s="388"/>
      <c r="Z69" s="388"/>
    </row>
    <row r="70">
      <c r="A70" s="385"/>
      <c r="B70" s="377" t="s">
        <v>299</v>
      </c>
      <c r="C70" s="243" t="s">
        <v>300</v>
      </c>
      <c r="D70" s="243">
        <v>14.77</v>
      </c>
      <c r="E70" s="246">
        <v>1.0</v>
      </c>
      <c r="F70" s="386"/>
      <c r="G70" s="235"/>
      <c r="H70" s="387"/>
      <c r="I70" s="377" t="s">
        <v>299</v>
      </c>
      <c r="J70" s="243" t="s">
        <v>300</v>
      </c>
      <c r="K70" s="243">
        <v>20.1</v>
      </c>
      <c r="L70" s="246">
        <v>1.0</v>
      </c>
      <c r="M70" s="386"/>
      <c r="N70" s="235"/>
      <c r="O70" s="388"/>
      <c r="P70" s="388"/>
      <c r="Q70" s="388"/>
      <c r="R70" s="388"/>
      <c r="S70" s="388"/>
      <c r="T70" s="388"/>
      <c r="U70" s="388"/>
      <c r="V70" s="388"/>
      <c r="W70" s="388"/>
      <c r="X70" s="388"/>
      <c r="Y70" s="388"/>
      <c r="Z70" s="388"/>
    </row>
    <row r="71">
      <c r="A71" s="385"/>
      <c r="B71" s="377" t="s">
        <v>302</v>
      </c>
      <c r="C71" s="243" t="s">
        <v>303</v>
      </c>
      <c r="D71" s="243">
        <v>1813.99</v>
      </c>
      <c r="E71" s="246">
        <v>1.0</v>
      </c>
      <c r="F71" s="386"/>
      <c r="G71" s="235"/>
      <c r="H71" s="387"/>
      <c r="I71" s="377" t="s">
        <v>302</v>
      </c>
      <c r="J71" s="243" t="s">
        <v>303</v>
      </c>
      <c r="K71" s="243">
        <v>1338.4</v>
      </c>
      <c r="L71" s="246">
        <v>1.0</v>
      </c>
      <c r="M71" s="386"/>
      <c r="N71" s="235"/>
      <c r="O71" s="388"/>
      <c r="P71" s="388"/>
      <c r="Q71" s="388"/>
      <c r="R71" s="388"/>
      <c r="S71" s="388"/>
      <c r="T71" s="388"/>
      <c r="U71" s="388"/>
      <c r="V71" s="388"/>
      <c r="W71" s="388"/>
      <c r="X71" s="388"/>
      <c r="Y71" s="388"/>
      <c r="Z71" s="388"/>
    </row>
    <row r="72">
      <c r="A72" s="385"/>
      <c r="B72" s="377" t="s">
        <v>305</v>
      </c>
      <c r="C72" s="243" t="s">
        <v>306</v>
      </c>
      <c r="D72" s="243">
        <v>8.9</v>
      </c>
      <c r="E72" s="246">
        <v>0.8090909</v>
      </c>
      <c r="F72" s="386"/>
      <c r="G72" s="235"/>
      <c r="H72" s="387"/>
      <c r="I72" s="377" t="s">
        <v>305</v>
      </c>
      <c r="J72" s="243" t="s">
        <v>306</v>
      </c>
      <c r="K72" s="243">
        <v>8.9</v>
      </c>
      <c r="L72" s="246">
        <v>0.812</v>
      </c>
      <c r="M72" s="386"/>
      <c r="N72" s="235"/>
      <c r="O72" s="388"/>
      <c r="P72" s="388"/>
      <c r="Q72" s="388"/>
      <c r="R72" s="388"/>
      <c r="S72" s="388"/>
      <c r="T72" s="388"/>
      <c r="U72" s="388"/>
      <c r="V72" s="388"/>
      <c r="W72" s="388"/>
      <c r="X72" s="388"/>
      <c r="Y72" s="388"/>
      <c r="Z72" s="388"/>
    </row>
    <row r="73">
      <c r="A73" s="385"/>
      <c r="B73" s="377" t="s">
        <v>307</v>
      </c>
      <c r="C73" s="243" t="s">
        <v>308</v>
      </c>
      <c r="D73" s="243">
        <v>1.61</v>
      </c>
      <c r="E73" s="246">
        <v>1.0</v>
      </c>
      <c r="F73" s="386"/>
      <c r="G73" s="235"/>
      <c r="H73" s="387"/>
      <c r="I73" s="377" t="s">
        <v>307</v>
      </c>
      <c r="J73" s="243" t="s">
        <v>308</v>
      </c>
      <c r="K73" s="243">
        <v>2.1</v>
      </c>
      <c r="L73" s="246">
        <v>1.0</v>
      </c>
      <c r="M73" s="386"/>
      <c r="N73" s="235"/>
      <c r="O73" s="388"/>
      <c r="P73" s="388"/>
      <c r="Q73" s="388"/>
      <c r="R73" s="388"/>
      <c r="S73" s="388"/>
      <c r="T73" s="388"/>
      <c r="U73" s="388"/>
      <c r="V73" s="388"/>
      <c r="W73" s="388"/>
      <c r="X73" s="388"/>
      <c r="Y73" s="388"/>
      <c r="Z73" s="388"/>
    </row>
    <row r="74">
      <c r="A74" s="385"/>
      <c r="B74" s="377" t="s">
        <v>309</v>
      </c>
      <c r="C74" s="243" t="s">
        <v>310</v>
      </c>
      <c r="D74" s="243">
        <v>4.87</v>
      </c>
      <c r="E74" s="246">
        <v>1.0</v>
      </c>
      <c r="F74" s="386"/>
      <c r="G74" s="235"/>
      <c r="H74" s="387"/>
      <c r="I74" s="377" t="s">
        <v>309</v>
      </c>
      <c r="J74" s="243" t="s">
        <v>310</v>
      </c>
      <c r="K74" s="243">
        <v>5.0</v>
      </c>
      <c r="L74" s="246">
        <v>1.0</v>
      </c>
      <c r="M74" s="386"/>
      <c r="N74" s="235"/>
      <c r="O74" s="388"/>
      <c r="P74" s="388"/>
      <c r="Q74" s="388"/>
      <c r="R74" s="388"/>
      <c r="S74" s="388"/>
      <c r="T74" s="388"/>
      <c r="U74" s="388"/>
      <c r="V74" s="388"/>
      <c r="W74" s="388"/>
      <c r="X74" s="388"/>
      <c r="Y74" s="388"/>
      <c r="Z74" s="388"/>
    </row>
    <row r="75">
      <c r="A75" s="385"/>
      <c r="B75" s="377" t="s">
        <v>311</v>
      </c>
      <c r="C75" s="243" t="s">
        <v>312</v>
      </c>
      <c r="D75" s="243">
        <v>0.13</v>
      </c>
      <c r="E75" s="246">
        <v>1.0</v>
      </c>
      <c r="F75" s="386"/>
      <c r="G75" s="235"/>
      <c r="H75" s="387"/>
      <c r="I75" s="377" t="s">
        <v>311</v>
      </c>
      <c r="J75" s="243" t="s">
        <v>312</v>
      </c>
      <c r="K75" s="243">
        <v>0.1</v>
      </c>
      <c r="L75" s="246">
        <v>1.0</v>
      </c>
      <c r="M75" s="386"/>
      <c r="N75" s="235"/>
      <c r="O75" s="388"/>
      <c r="P75" s="388"/>
      <c r="Q75" s="388"/>
      <c r="R75" s="388"/>
      <c r="S75" s="388"/>
      <c r="T75" s="388"/>
      <c r="U75" s="388"/>
      <c r="V75" s="388"/>
      <c r="W75" s="388"/>
      <c r="X75" s="388"/>
      <c r="Y75" s="388"/>
      <c r="Z75" s="388"/>
    </row>
    <row r="76">
      <c r="A76" s="385"/>
      <c r="B76" s="377" t="s">
        <v>167</v>
      </c>
      <c r="C76" s="243">
        <v>3700.0</v>
      </c>
      <c r="D76" s="243">
        <v>875.95</v>
      </c>
      <c r="E76" s="246">
        <v>0.2367432</v>
      </c>
      <c r="F76" s="386"/>
      <c r="G76" s="235"/>
      <c r="H76" s="387"/>
      <c r="I76" s="377" t="s">
        <v>167</v>
      </c>
      <c r="J76" s="243">
        <v>3700.0</v>
      </c>
      <c r="K76" s="243">
        <v>580.4</v>
      </c>
      <c r="L76" s="246">
        <v>0.157</v>
      </c>
      <c r="M76" s="386"/>
      <c r="N76" s="235"/>
      <c r="O76" s="388"/>
      <c r="P76" s="388"/>
      <c r="Q76" s="388"/>
      <c r="R76" s="388"/>
      <c r="S76" s="388"/>
      <c r="T76" s="388"/>
      <c r="U76" s="388"/>
      <c r="V76" s="388"/>
      <c r="W76" s="388"/>
      <c r="X76" s="388"/>
      <c r="Y76" s="388"/>
      <c r="Z76" s="388"/>
    </row>
    <row r="77">
      <c r="A77" s="28"/>
    </row>
    <row r="78" ht="30.0" customHeight="1">
      <c r="A78" s="142"/>
      <c r="B78" s="261" t="s">
        <v>314</v>
      </c>
      <c r="C78" s="262"/>
      <c r="D78" s="262"/>
      <c r="E78" s="262"/>
      <c r="F78" s="262"/>
      <c r="G78" s="262"/>
      <c r="H78" s="262"/>
      <c r="I78" s="262"/>
      <c r="J78" s="262"/>
      <c r="K78" s="262"/>
      <c r="L78" s="262"/>
      <c r="M78" s="262"/>
      <c r="N78" s="263"/>
      <c r="O78" s="146"/>
      <c r="P78" s="146"/>
      <c r="Q78" s="146"/>
      <c r="R78" s="146"/>
      <c r="S78" s="146"/>
      <c r="T78" s="146"/>
      <c r="U78" s="146"/>
      <c r="V78" s="146"/>
      <c r="W78" s="146"/>
      <c r="X78" s="146"/>
      <c r="Y78" s="146"/>
      <c r="Z78" s="146"/>
    </row>
    <row r="79">
      <c r="A79" s="28"/>
      <c r="B79" s="264" t="s">
        <v>315</v>
      </c>
      <c r="C79" s="262"/>
      <c r="D79" s="262"/>
      <c r="E79" s="262"/>
      <c r="F79" s="262"/>
      <c r="G79" s="262"/>
      <c r="H79" s="262"/>
      <c r="I79" s="262"/>
      <c r="J79" s="262"/>
      <c r="K79" s="262"/>
      <c r="L79" s="262"/>
      <c r="M79" s="262"/>
      <c r="N79" s="263"/>
    </row>
    <row r="80">
      <c r="A80" s="28"/>
      <c r="B80" s="265" t="s">
        <v>316</v>
      </c>
      <c r="C80" s="266" t="s">
        <v>317</v>
      </c>
      <c r="D80" s="266" t="s">
        <v>318</v>
      </c>
      <c r="E80" s="267" t="s">
        <v>319</v>
      </c>
      <c r="F80" s="268" t="s">
        <v>320</v>
      </c>
      <c r="G80" s="269" t="s">
        <v>321</v>
      </c>
      <c r="H80" s="164"/>
      <c r="I80" s="270" t="s">
        <v>316</v>
      </c>
      <c r="J80" s="271" t="s">
        <v>317</v>
      </c>
      <c r="K80" s="271" t="s">
        <v>318</v>
      </c>
      <c r="L80" s="272" t="s">
        <v>319</v>
      </c>
      <c r="M80" s="273" t="s">
        <v>322</v>
      </c>
      <c r="N80" s="274" t="s">
        <v>323</v>
      </c>
    </row>
    <row r="81">
      <c r="A81" s="28"/>
      <c r="B81" s="275" t="s">
        <v>94</v>
      </c>
      <c r="C81" s="276" t="s">
        <v>324</v>
      </c>
      <c r="D81" s="277" t="s">
        <v>325</v>
      </c>
      <c r="E81" s="278">
        <v>3.0</v>
      </c>
      <c r="F81" s="279" t="str">
        <f t="shared" ref="F81:F89" si="2">IF(ISBLANK(E81),"— Belum diisi",IF(E81=1,"Sangat Tidak Sesuai",IF(E81=2,"Tidak Sesuai",IF(E81=3,"Cukup Sesuai",IF(E81=4,"Sesuai",IF(E81=5,"Sangat Sesuai","—"))))))</f>
        <v>Cukup Sesuai</v>
      </c>
      <c r="G81" s="280" t="s">
        <v>495</v>
      </c>
      <c r="H81" s="164"/>
      <c r="I81" s="281" t="s">
        <v>94</v>
      </c>
      <c r="J81" s="282" t="s">
        <v>324</v>
      </c>
      <c r="K81" s="283" t="s">
        <v>325</v>
      </c>
      <c r="L81" s="278">
        <v>3.0</v>
      </c>
      <c r="M81" s="285" t="str">
        <f t="shared" ref="M81:M89" si="3">IF(ISBLANK(L81),"— Belum diisi",IF(L81=1,"Sangat Tidak Sesuai",IF(L81=2,"Tidak Sesuai",IF(L81=3,"Cukup Sesuai",IF(L81=4,"Sesuai",IF(L81=5,"Sangat Sesuai","—"))))))</f>
        <v>Cukup Sesuai</v>
      </c>
      <c r="N81" s="280" t="s">
        <v>495</v>
      </c>
    </row>
    <row r="82">
      <c r="A82" s="28"/>
      <c r="B82" s="275" t="s">
        <v>95</v>
      </c>
      <c r="C82" s="286" t="s">
        <v>327</v>
      </c>
      <c r="D82" s="287" t="s">
        <v>328</v>
      </c>
      <c r="E82" s="278">
        <v>4.0</v>
      </c>
      <c r="F82" s="288" t="str">
        <f t="shared" si="2"/>
        <v>Sesuai</v>
      </c>
      <c r="G82" s="297"/>
      <c r="H82" s="164"/>
      <c r="I82" s="281" t="s">
        <v>95</v>
      </c>
      <c r="J82" s="286" t="s">
        <v>327</v>
      </c>
      <c r="K82" s="287" t="s">
        <v>328</v>
      </c>
      <c r="L82" s="278">
        <v>4.0</v>
      </c>
      <c r="M82" s="288" t="str">
        <f t="shared" si="3"/>
        <v>Sesuai</v>
      </c>
      <c r="N82" s="297"/>
    </row>
    <row r="83">
      <c r="A83" s="28"/>
      <c r="B83" s="275" t="s">
        <v>96</v>
      </c>
      <c r="C83" s="276" t="s">
        <v>330</v>
      </c>
      <c r="D83" s="277" t="s">
        <v>331</v>
      </c>
      <c r="E83" s="278">
        <v>4.0</v>
      </c>
      <c r="F83" s="279" t="str">
        <f t="shared" si="2"/>
        <v>Sesuai</v>
      </c>
      <c r="G83" s="297"/>
      <c r="H83" s="164"/>
      <c r="I83" s="281" t="s">
        <v>96</v>
      </c>
      <c r="J83" s="282" t="s">
        <v>330</v>
      </c>
      <c r="K83" s="289" t="s">
        <v>331</v>
      </c>
      <c r="L83" s="278">
        <v>4.0</v>
      </c>
      <c r="M83" s="290" t="str">
        <f t="shared" si="3"/>
        <v>Sesuai</v>
      </c>
      <c r="N83" s="297"/>
    </row>
    <row r="84">
      <c r="A84" s="28"/>
      <c r="B84" s="275" t="s">
        <v>97</v>
      </c>
      <c r="C84" s="286" t="s">
        <v>334</v>
      </c>
      <c r="D84" s="287" t="s">
        <v>335</v>
      </c>
      <c r="E84" s="278">
        <v>4.0</v>
      </c>
      <c r="F84" s="288" t="str">
        <f t="shared" si="2"/>
        <v>Sesuai</v>
      </c>
      <c r="G84" s="297"/>
      <c r="H84" s="164"/>
      <c r="I84" s="281" t="s">
        <v>97</v>
      </c>
      <c r="J84" s="286" t="s">
        <v>334</v>
      </c>
      <c r="K84" s="287" t="s">
        <v>335</v>
      </c>
      <c r="L84" s="278">
        <v>2.0</v>
      </c>
      <c r="M84" s="288" t="str">
        <f t="shared" si="3"/>
        <v>Tidak Sesuai</v>
      </c>
      <c r="N84" s="280" t="s">
        <v>496</v>
      </c>
    </row>
    <row r="85">
      <c r="A85" s="28"/>
      <c r="B85" s="275" t="s">
        <v>98</v>
      </c>
      <c r="C85" s="276" t="s">
        <v>336</v>
      </c>
      <c r="D85" s="277" t="s">
        <v>337</v>
      </c>
      <c r="E85" s="278">
        <v>3.0</v>
      </c>
      <c r="F85" s="279" t="str">
        <f t="shared" si="2"/>
        <v>Cukup Sesuai</v>
      </c>
      <c r="G85" s="280" t="s">
        <v>497</v>
      </c>
      <c r="H85" s="164"/>
      <c r="I85" s="281" t="s">
        <v>98</v>
      </c>
      <c r="J85" s="282" t="s">
        <v>336</v>
      </c>
      <c r="K85" s="289" t="s">
        <v>337</v>
      </c>
      <c r="L85" s="278">
        <v>3.0</v>
      </c>
      <c r="M85" s="290" t="str">
        <f t="shared" si="3"/>
        <v>Cukup Sesuai</v>
      </c>
      <c r="N85" s="280" t="s">
        <v>497</v>
      </c>
    </row>
    <row r="86">
      <c r="A86" s="28"/>
      <c r="B86" s="291" t="s">
        <v>99</v>
      </c>
      <c r="C86" s="286" t="s">
        <v>339</v>
      </c>
      <c r="D86" s="287" t="s">
        <v>340</v>
      </c>
      <c r="E86" s="278">
        <v>3.0</v>
      </c>
      <c r="F86" s="288" t="str">
        <f t="shared" si="2"/>
        <v>Cukup Sesuai</v>
      </c>
      <c r="G86" s="278" t="s">
        <v>498</v>
      </c>
      <c r="H86" s="164"/>
      <c r="I86" s="292" t="s">
        <v>99</v>
      </c>
      <c r="J86" s="286" t="s">
        <v>339</v>
      </c>
      <c r="K86" s="287" t="s">
        <v>340</v>
      </c>
      <c r="L86" s="278">
        <v>3.0</v>
      </c>
      <c r="M86" s="288" t="str">
        <f t="shared" si="3"/>
        <v>Cukup Sesuai</v>
      </c>
      <c r="N86" s="278" t="s">
        <v>498</v>
      </c>
    </row>
    <row r="87">
      <c r="A87" s="28"/>
      <c r="B87" s="293" t="s">
        <v>100</v>
      </c>
      <c r="C87" s="276" t="s">
        <v>343</v>
      </c>
      <c r="D87" s="277" t="s">
        <v>344</v>
      </c>
      <c r="E87" s="278">
        <v>3.0</v>
      </c>
      <c r="F87" s="279" t="str">
        <f t="shared" si="2"/>
        <v>Cukup Sesuai</v>
      </c>
      <c r="G87" s="278" t="s">
        <v>499</v>
      </c>
      <c r="H87" s="164"/>
      <c r="I87" s="294" t="s">
        <v>100</v>
      </c>
      <c r="J87" s="282" t="s">
        <v>343</v>
      </c>
      <c r="K87" s="289" t="s">
        <v>344</v>
      </c>
      <c r="L87" s="278">
        <v>3.0</v>
      </c>
      <c r="M87" s="290" t="str">
        <f t="shared" si="3"/>
        <v>Cukup Sesuai</v>
      </c>
      <c r="N87" s="280" t="s">
        <v>499</v>
      </c>
    </row>
    <row r="88">
      <c r="A88" s="28"/>
      <c r="B88" s="295" t="s">
        <v>101</v>
      </c>
      <c r="C88" s="286" t="s">
        <v>346</v>
      </c>
      <c r="D88" s="287" t="s">
        <v>347</v>
      </c>
      <c r="E88" s="278">
        <v>3.0</v>
      </c>
      <c r="F88" s="288" t="str">
        <f t="shared" si="2"/>
        <v>Cukup Sesuai</v>
      </c>
      <c r="G88" s="280" t="s">
        <v>500</v>
      </c>
      <c r="H88" s="164"/>
      <c r="I88" s="296" t="s">
        <v>101</v>
      </c>
      <c r="J88" s="286" t="s">
        <v>346</v>
      </c>
      <c r="K88" s="287" t="s">
        <v>347</v>
      </c>
      <c r="L88" s="278">
        <v>4.0</v>
      </c>
      <c r="M88" s="288" t="str">
        <f t="shared" si="3"/>
        <v>Sesuai</v>
      </c>
      <c r="N88" s="297"/>
    </row>
    <row r="89">
      <c r="A89" s="28"/>
      <c r="B89" s="298" t="s">
        <v>102</v>
      </c>
      <c r="C89" s="276" t="s">
        <v>349</v>
      </c>
      <c r="D89" s="277" t="s">
        <v>350</v>
      </c>
      <c r="E89" s="278">
        <v>4.0</v>
      </c>
      <c r="F89" s="279" t="str">
        <f t="shared" si="2"/>
        <v>Sesuai</v>
      </c>
      <c r="G89" s="297"/>
      <c r="H89" s="164"/>
      <c r="I89" s="299" t="s">
        <v>102</v>
      </c>
      <c r="J89" s="282" t="s">
        <v>349</v>
      </c>
      <c r="K89" s="289" t="s">
        <v>350</v>
      </c>
      <c r="L89" s="278">
        <v>4.0</v>
      </c>
      <c r="M89" s="290" t="str">
        <f t="shared" si="3"/>
        <v>Sesuai</v>
      </c>
      <c r="N89" s="297"/>
    </row>
    <row r="90">
      <c r="A90" s="28"/>
      <c r="B90" s="300" t="s">
        <v>351</v>
      </c>
      <c r="C90" s="301"/>
      <c r="D90" s="27"/>
      <c r="E90" s="302">
        <f>IFERROR(AVERAGE(E81,E82,E83,E84,E85,E86,E87,E88,E89),"—")</f>
        <v>3.444444444</v>
      </c>
      <c r="F90" s="303" t="str">
        <f>IF(ISNUMBER(E90),IF(E90&lt;2,"Sangat Tidak Sesuai",IF(E90&lt;3,"Tidak Sesuai",IF(E90&lt;4,"Cukup Sesuai",IF(E90&lt;4.6,"Sesuai","Sangat Sesuai")))),"—")</f>
        <v>Cukup Sesuai</v>
      </c>
      <c r="G90" s="3"/>
      <c r="H90" s="164"/>
      <c r="I90" s="304" t="s">
        <v>351</v>
      </c>
      <c r="J90" s="301"/>
      <c r="K90" s="27"/>
      <c r="L90" s="294">
        <f>IFERROR(AVERAGE(L81,L82,L83,L84,L85,L86,L87,L88,L89),"—")</f>
        <v>3.333333333</v>
      </c>
      <c r="M90" s="305" t="str">
        <f>IF(ISNUMBER(L90),IF(L90&lt;2,"Sangat Tidak Sesuai",IF(L90&lt;3,"Tidak Sesuai",IF(L90&lt;4,"Cukup Sesuai",IF(L90&lt;4.6,"Sesuai","Sangat Sesuai")))),"—")</f>
        <v>Cukup Sesuai</v>
      </c>
      <c r="N90" s="3"/>
    </row>
    <row r="91">
      <c r="A91" s="28"/>
      <c r="B91" s="306"/>
    </row>
    <row r="92" ht="30.0" customHeight="1">
      <c r="A92" s="142"/>
      <c r="B92" s="307" t="s">
        <v>352</v>
      </c>
      <c r="C92" s="170"/>
      <c r="D92" s="170"/>
      <c r="E92" s="170"/>
      <c r="F92" s="170"/>
      <c r="G92" s="170"/>
      <c r="H92" s="170"/>
      <c r="I92" s="170"/>
      <c r="J92" s="170"/>
      <c r="K92" s="170"/>
      <c r="L92" s="170"/>
      <c r="M92" s="170"/>
      <c r="N92" s="308"/>
      <c r="O92" s="146"/>
      <c r="P92" s="146"/>
      <c r="Q92" s="146"/>
      <c r="R92" s="146"/>
      <c r="S92" s="146"/>
      <c r="T92" s="146"/>
      <c r="U92" s="146"/>
      <c r="V92" s="146"/>
      <c r="W92" s="146"/>
      <c r="X92" s="146"/>
      <c r="Y92" s="146"/>
      <c r="Z92" s="146"/>
    </row>
    <row r="93" ht="25.5" customHeight="1">
      <c r="A93" s="147"/>
      <c r="B93" s="309" t="s">
        <v>353</v>
      </c>
      <c r="C93" s="310"/>
      <c r="D93" s="310"/>
      <c r="E93" s="310"/>
      <c r="F93" s="310"/>
      <c r="G93" s="311"/>
      <c r="H93" s="312"/>
      <c r="I93" s="313" t="s">
        <v>354</v>
      </c>
      <c r="J93" s="30"/>
      <c r="K93" s="30"/>
      <c r="L93" s="30"/>
      <c r="M93" s="30"/>
      <c r="N93" s="3"/>
      <c r="O93" s="153"/>
      <c r="P93" s="153"/>
      <c r="Q93" s="153"/>
      <c r="R93" s="153"/>
      <c r="S93" s="153"/>
      <c r="T93" s="153"/>
      <c r="U93" s="153"/>
      <c r="V93" s="153"/>
      <c r="W93" s="153"/>
      <c r="X93" s="153"/>
      <c r="Y93" s="153"/>
      <c r="Z93" s="153"/>
    </row>
    <row r="94">
      <c r="A94" s="28"/>
      <c r="B94" s="314" t="s">
        <v>355</v>
      </c>
      <c r="C94" s="315"/>
      <c r="D94" s="315"/>
      <c r="E94" s="315"/>
      <c r="F94" s="315"/>
      <c r="G94" s="316"/>
      <c r="H94" s="260"/>
      <c r="I94" s="317" t="s">
        <v>355</v>
      </c>
      <c r="J94" s="30"/>
      <c r="K94" s="30"/>
      <c r="L94" s="30"/>
      <c r="M94" s="30"/>
      <c r="N94" s="3"/>
    </row>
    <row r="95">
      <c r="A95" s="28"/>
      <c r="B95" s="318" t="s">
        <v>356</v>
      </c>
      <c r="H95" s="260"/>
      <c r="I95" s="319" t="s">
        <v>356</v>
      </c>
      <c r="J95" s="30"/>
      <c r="K95" s="30"/>
      <c r="L95" s="30"/>
      <c r="M95" s="30"/>
      <c r="N95" s="3"/>
    </row>
    <row r="96">
      <c r="A96" s="28"/>
      <c r="B96" s="392" t="s">
        <v>501</v>
      </c>
      <c r="G96" s="321"/>
      <c r="H96" s="393"/>
      <c r="I96" s="394" t="s">
        <v>501</v>
      </c>
      <c r="J96" s="324"/>
      <c r="K96" s="324"/>
      <c r="L96" s="324"/>
      <c r="M96" s="324"/>
      <c r="N96" s="325"/>
    </row>
    <row r="97">
      <c r="A97" s="28"/>
      <c r="B97" s="326"/>
      <c r="G97" s="321"/>
      <c r="H97" s="393"/>
      <c r="I97" s="327"/>
      <c r="N97" s="328"/>
    </row>
    <row r="98">
      <c r="A98" s="28"/>
      <c r="B98" s="326"/>
      <c r="G98" s="321"/>
      <c r="H98" s="393"/>
      <c r="I98" s="327"/>
      <c r="N98" s="328"/>
    </row>
    <row r="99">
      <c r="A99" s="28"/>
      <c r="B99" s="329"/>
      <c r="C99" s="330"/>
      <c r="D99" s="330"/>
      <c r="E99" s="330"/>
      <c r="F99" s="330"/>
      <c r="G99" s="331"/>
      <c r="H99" s="393"/>
      <c r="I99" s="332"/>
      <c r="J99" s="333"/>
      <c r="K99" s="333"/>
      <c r="L99" s="333"/>
      <c r="M99" s="333"/>
      <c r="N99" s="334"/>
    </row>
    <row r="100">
      <c r="A100" s="28"/>
      <c r="B100" s="28"/>
      <c r="C100" s="28"/>
      <c r="D100" s="28"/>
      <c r="E100" s="28"/>
      <c r="F100" s="28"/>
      <c r="G100" s="28"/>
    </row>
    <row r="101">
      <c r="A101" s="28"/>
      <c r="B101" s="335" t="s">
        <v>358</v>
      </c>
      <c r="C101" s="144"/>
      <c r="D101" s="144"/>
      <c r="E101" s="144"/>
      <c r="F101" s="144"/>
      <c r="G101" s="145"/>
      <c r="H101" s="164"/>
      <c r="I101" s="336" t="s">
        <v>358</v>
      </c>
      <c r="J101" s="30"/>
      <c r="K101" s="30"/>
      <c r="L101" s="30"/>
      <c r="M101" s="30"/>
      <c r="N101" s="3"/>
    </row>
    <row r="102">
      <c r="A102" s="28"/>
      <c r="B102" s="337" t="s">
        <v>359</v>
      </c>
      <c r="H102" s="260"/>
      <c r="I102" s="338" t="s">
        <v>359</v>
      </c>
      <c r="J102" s="30"/>
      <c r="K102" s="30"/>
      <c r="L102" s="30"/>
      <c r="M102" s="30"/>
      <c r="N102" s="3"/>
    </row>
    <row r="103">
      <c r="A103" s="28"/>
      <c r="B103" s="395" t="s">
        <v>441</v>
      </c>
      <c r="G103" s="328"/>
      <c r="H103" s="396"/>
      <c r="I103" s="397" t="s">
        <v>441</v>
      </c>
      <c r="J103" s="324"/>
      <c r="K103" s="324"/>
      <c r="L103" s="324"/>
      <c r="M103" s="324"/>
      <c r="N103" s="325"/>
    </row>
    <row r="104">
      <c r="A104" s="28"/>
      <c r="B104" s="342"/>
      <c r="G104" s="328"/>
      <c r="H104" s="396"/>
      <c r="I104" s="327"/>
      <c r="N104" s="328"/>
    </row>
    <row r="105">
      <c r="A105" s="28"/>
      <c r="B105" s="342"/>
      <c r="G105" s="328"/>
      <c r="H105" s="396"/>
      <c r="I105" s="327"/>
      <c r="N105" s="328"/>
    </row>
    <row r="106">
      <c r="A106" s="28"/>
      <c r="B106" s="343"/>
      <c r="C106" s="163"/>
      <c r="D106" s="163"/>
      <c r="E106" s="163"/>
      <c r="F106" s="163"/>
      <c r="G106" s="344"/>
      <c r="H106" s="396"/>
      <c r="I106" s="332"/>
      <c r="J106" s="333"/>
      <c r="K106" s="333"/>
      <c r="L106" s="333"/>
      <c r="M106" s="333"/>
      <c r="N106" s="334"/>
    </row>
    <row r="107">
      <c r="A107" s="28"/>
    </row>
    <row r="108">
      <c r="A108" s="28"/>
      <c r="B108" s="345" t="s">
        <v>361</v>
      </c>
      <c r="C108" s="30"/>
      <c r="D108" s="30"/>
      <c r="E108" s="30"/>
      <c r="F108" s="30"/>
      <c r="G108" s="3"/>
      <c r="H108" s="164"/>
      <c r="I108" s="346" t="s">
        <v>361</v>
      </c>
      <c r="J108" s="30"/>
      <c r="K108" s="30"/>
      <c r="L108" s="30"/>
      <c r="M108" s="30"/>
      <c r="N108" s="3"/>
    </row>
    <row r="109">
      <c r="A109" s="28"/>
      <c r="B109" s="347" t="s">
        <v>362</v>
      </c>
      <c r="C109" s="30"/>
      <c r="D109" s="30"/>
      <c r="E109" s="30"/>
      <c r="F109" s="30"/>
      <c r="G109" s="3"/>
      <c r="H109" s="164"/>
      <c r="I109" s="348" t="s">
        <v>362</v>
      </c>
      <c r="J109" s="30"/>
      <c r="K109" s="30"/>
      <c r="L109" s="30"/>
      <c r="M109" s="30"/>
      <c r="N109" s="3"/>
    </row>
    <row r="110">
      <c r="A110" s="28"/>
      <c r="B110" s="398" t="s">
        <v>363</v>
      </c>
      <c r="C110" s="324"/>
      <c r="D110" s="324"/>
      <c r="E110" s="324"/>
      <c r="F110" s="324"/>
      <c r="G110" s="325"/>
      <c r="H110" s="396"/>
      <c r="I110" s="399" t="s">
        <v>363</v>
      </c>
      <c r="J110" s="324"/>
      <c r="K110" s="324"/>
      <c r="L110" s="324"/>
      <c r="M110" s="324"/>
      <c r="N110" s="325"/>
    </row>
    <row r="111">
      <c r="A111" s="28"/>
      <c r="B111" s="327"/>
      <c r="G111" s="328"/>
      <c r="H111" s="396"/>
      <c r="I111" s="327"/>
      <c r="N111" s="328"/>
    </row>
    <row r="112">
      <c r="A112" s="28"/>
      <c r="B112" s="327"/>
      <c r="G112" s="328"/>
      <c r="H112" s="396"/>
      <c r="I112" s="327"/>
      <c r="N112" s="328"/>
    </row>
    <row r="113">
      <c r="A113" s="28"/>
      <c r="B113" s="332"/>
      <c r="C113" s="333"/>
      <c r="D113" s="333"/>
      <c r="E113" s="333"/>
      <c r="F113" s="333"/>
      <c r="G113" s="334"/>
      <c r="H113" s="396"/>
      <c r="I113" s="332"/>
      <c r="J113" s="333"/>
      <c r="K113" s="333"/>
      <c r="L113" s="333"/>
      <c r="M113" s="333"/>
      <c r="N113" s="334"/>
    </row>
    <row r="114">
      <c r="A114" s="28"/>
      <c r="B114" s="28"/>
      <c r="C114" s="28"/>
      <c r="D114" s="28"/>
      <c r="E114" s="28"/>
      <c r="F114" s="28"/>
      <c r="G114" s="28"/>
    </row>
    <row r="115" ht="15.75" customHeight="1">
      <c r="A115" s="28"/>
      <c r="B115" s="28"/>
      <c r="C115" s="28"/>
      <c r="D115" s="28"/>
      <c r="E115" s="28"/>
      <c r="F115" s="28"/>
      <c r="G115" s="28"/>
    </row>
    <row r="116" ht="15.75" customHeight="1">
      <c r="A116" s="28"/>
      <c r="B116" s="28"/>
      <c r="C116" s="28"/>
      <c r="D116" s="28"/>
      <c r="E116" s="28"/>
      <c r="F116" s="28"/>
      <c r="G116" s="28"/>
    </row>
    <row r="117" ht="15.75" customHeight="1">
      <c r="A117" s="28"/>
      <c r="B117" s="28"/>
      <c r="C117" s="28"/>
      <c r="D117" s="28"/>
      <c r="E117" s="28"/>
      <c r="F117" s="28"/>
      <c r="G117" s="28"/>
    </row>
    <row r="118" ht="15.75" customHeight="1">
      <c r="A118" s="28"/>
      <c r="B118" s="28"/>
      <c r="C118" s="28"/>
      <c r="D118" s="28"/>
      <c r="E118" s="28"/>
      <c r="F118" s="28"/>
      <c r="G118" s="28"/>
    </row>
    <row r="119" ht="15.75" customHeight="1">
      <c r="A119" s="28"/>
      <c r="B119" s="28"/>
      <c r="C119" s="28"/>
      <c r="D119" s="28"/>
      <c r="E119" s="28"/>
      <c r="F119" s="28"/>
      <c r="G119" s="28"/>
    </row>
    <row r="120" ht="15.75" customHeight="1">
      <c r="A120" s="28"/>
      <c r="B120" s="28"/>
      <c r="C120" s="28"/>
      <c r="D120" s="28"/>
      <c r="E120" s="28"/>
      <c r="F120" s="28"/>
      <c r="G120" s="28"/>
    </row>
    <row r="121" ht="15.75" customHeight="1">
      <c r="A121" s="28"/>
      <c r="B121" s="28"/>
      <c r="C121" s="28"/>
      <c r="D121" s="28"/>
      <c r="E121" s="28"/>
      <c r="F121" s="28"/>
      <c r="G121" s="28"/>
    </row>
    <row r="122" ht="15.75" customHeight="1">
      <c r="A122" s="28"/>
      <c r="B122" s="28"/>
      <c r="C122" s="28"/>
      <c r="D122" s="28"/>
      <c r="E122" s="28"/>
      <c r="F122" s="28"/>
      <c r="G122" s="28"/>
    </row>
    <row r="123" ht="15.75" customHeight="1">
      <c r="A123" s="28"/>
      <c r="B123" s="28"/>
      <c r="C123" s="28"/>
      <c r="D123" s="28"/>
      <c r="E123" s="28"/>
      <c r="F123" s="28"/>
      <c r="G123" s="28"/>
    </row>
    <row r="124" ht="15.75" customHeight="1">
      <c r="A124" s="28"/>
      <c r="B124" s="28"/>
      <c r="C124" s="28"/>
      <c r="D124" s="28"/>
      <c r="E124" s="28"/>
      <c r="F124" s="28"/>
      <c r="G124" s="28"/>
    </row>
    <row r="125" ht="15.75" customHeight="1">
      <c r="A125" s="28"/>
      <c r="B125" s="28"/>
      <c r="C125" s="28"/>
      <c r="D125" s="28"/>
      <c r="E125" s="28"/>
      <c r="F125" s="28"/>
      <c r="G125" s="28"/>
    </row>
    <row r="126" ht="15.75" customHeight="1">
      <c r="A126" s="28"/>
      <c r="B126" s="28"/>
      <c r="C126" s="28"/>
      <c r="D126" s="28"/>
      <c r="E126" s="28"/>
      <c r="F126" s="28"/>
      <c r="G126" s="28"/>
    </row>
    <row r="127" ht="15.75" customHeight="1">
      <c r="A127" s="28"/>
      <c r="B127" s="28"/>
      <c r="C127" s="28"/>
      <c r="D127" s="28"/>
      <c r="E127" s="28"/>
      <c r="F127" s="28"/>
      <c r="G127" s="28"/>
    </row>
    <row r="128" ht="15.75" customHeight="1">
      <c r="A128" s="28"/>
      <c r="B128" s="28"/>
      <c r="C128" s="28"/>
      <c r="D128" s="28"/>
      <c r="E128" s="28"/>
      <c r="F128" s="28"/>
      <c r="G128" s="28"/>
    </row>
    <row r="129" ht="15.75" customHeight="1">
      <c r="A129" s="28"/>
      <c r="B129" s="28"/>
      <c r="C129" s="28"/>
      <c r="D129" s="28"/>
      <c r="E129" s="28"/>
      <c r="F129" s="28"/>
      <c r="G129" s="28"/>
    </row>
    <row r="130" ht="15.75" customHeight="1">
      <c r="A130" s="28"/>
      <c r="B130" s="28"/>
      <c r="C130" s="28"/>
      <c r="D130" s="28"/>
      <c r="E130" s="28"/>
      <c r="F130" s="28"/>
      <c r="G130" s="28"/>
    </row>
    <row r="131" ht="15.75" customHeight="1">
      <c r="A131" s="28"/>
      <c r="B131" s="28"/>
      <c r="C131" s="28"/>
      <c r="D131" s="28"/>
      <c r="E131" s="28"/>
      <c r="F131" s="28"/>
      <c r="G131" s="28"/>
    </row>
    <row r="132" ht="15.75" customHeight="1">
      <c r="A132" s="28"/>
      <c r="B132" s="28"/>
      <c r="C132" s="28"/>
      <c r="D132" s="28"/>
      <c r="E132" s="28"/>
      <c r="F132" s="28"/>
      <c r="G132" s="28"/>
    </row>
    <row r="133" ht="15.75" customHeight="1">
      <c r="A133" s="28"/>
      <c r="B133" s="28"/>
      <c r="C133" s="28"/>
      <c r="D133" s="28"/>
      <c r="E133" s="28"/>
      <c r="F133" s="28"/>
      <c r="G133" s="28"/>
    </row>
    <row r="134" ht="15.75" customHeight="1">
      <c r="A134" s="28"/>
      <c r="B134" s="28"/>
      <c r="C134" s="28"/>
      <c r="D134" s="28"/>
      <c r="E134" s="28"/>
      <c r="F134" s="28"/>
      <c r="G134" s="28"/>
    </row>
    <row r="135" ht="15.75" customHeight="1">
      <c r="A135" s="28"/>
      <c r="B135" s="28"/>
      <c r="C135" s="28"/>
      <c r="D135" s="28"/>
      <c r="E135" s="28"/>
      <c r="F135" s="28"/>
      <c r="G135" s="28"/>
    </row>
    <row r="136" ht="15.75" customHeight="1">
      <c r="A136" s="28"/>
      <c r="B136" s="28"/>
      <c r="C136" s="28"/>
      <c r="D136" s="28"/>
      <c r="E136" s="28"/>
      <c r="F136" s="28"/>
      <c r="G136" s="28"/>
    </row>
    <row r="137" ht="15.75" customHeight="1">
      <c r="A137" s="28"/>
      <c r="B137" s="28"/>
      <c r="C137" s="28"/>
      <c r="D137" s="28"/>
      <c r="E137" s="28"/>
      <c r="F137" s="28"/>
      <c r="G137" s="28"/>
    </row>
    <row r="138" ht="15.75" customHeight="1">
      <c r="A138" s="28"/>
      <c r="B138" s="28"/>
      <c r="C138" s="28"/>
      <c r="D138" s="28"/>
      <c r="E138" s="28"/>
      <c r="F138" s="28"/>
      <c r="G138" s="28"/>
    </row>
    <row r="139" ht="15.75" customHeight="1">
      <c r="A139" s="28"/>
      <c r="B139" s="28"/>
      <c r="C139" s="28"/>
      <c r="D139" s="28"/>
      <c r="E139" s="28"/>
      <c r="F139" s="28"/>
      <c r="G139" s="28"/>
    </row>
    <row r="140" ht="15.75" customHeight="1">
      <c r="A140" s="28"/>
      <c r="B140" s="28"/>
      <c r="C140" s="28"/>
      <c r="D140" s="28"/>
      <c r="E140" s="28"/>
      <c r="F140" s="28"/>
      <c r="G140" s="28"/>
    </row>
    <row r="141" ht="15.75" customHeight="1">
      <c r="A141" s="28"/>
      <c r="B141" s="28"/>
      <c r="C141" s="28"/>
      <c r="D141" s="28"/>
      <c r="E141" s="28"/>
      <c r="F141" s="28"/>
      <c r="G141" s="28"/>
    </row>
    <row r="142" ht="15.75" customHeight="1">
      <c r="A142" s="28"/>
      <c r="B142" s="28"/>
      <c r="C142" s="28"/>
      <c r="D142" s="28"/>
      <c r="E142" s="28"/>
      <c r="F142" s="28"/>
      <c r="G142" s="28"/>
    </row>
    <row r="143" ht="15.75" customHeight="1">
      <c r="A143" s="28"/>
      <c r="B143" s="28"/>
      <c r="C143" s="28"/>
      <c r="D143" s="28"/>
      <c r="E143" s="28"/>
      <c r="F143" s="28"/>
      <c r="G143" s="28"/>
    </row>
    <row r="144" ht="15.75" customHeight="1">
      <c r="A144" s="28"/>
      <c r="B144" s="28"/>
      <c r="C144" s="28"/>
      <c r="D144" s="28"/>
      <c r="E144" s="28"/>
      <c r="F144" s="28"/>
      <c r="G144" s="28"/>
    </row>
    <row r="145" ht="15.75" customHeight="1">
      <c r="A145" s="28"/>
      <c r="B145" s="28"/>
      <c r="C145" s="28"/>
      <c r="D145" s="28"/>
      <c r="E145" s="28"/>
      <c r="F145" s="28"/>
      <c r="G145" s="28"/>
    </row>
    <row r="146" ht="15.75" customHeight="1">
      <c r="A146" s="28"/>
      <c r="B146" s="28"/>
      <c r="C146" s="28"/>
      <c r="D146" s="28"/>
      <c r="E146" s="28"/>
      <c r="F146" s="28"/>
      <c r="G146" s="28"/>
    </row>
    <row r="147" ht="15.75" customHeight="1">
      <c r="A147" s="28"/>
      <c r="B147" s="28"/>
      <c r="C147" s="28"/>
      <c r="D147" s="28"/>
      <c r="E147" s="28"/>
      <c r="F147" s="28"/>
      <c r="G147" s="28"/>
    </row>
    <row r="148" ht="15.75" customHeight="1">
      <c r="A148" s="28"/>
      <c r="B148" s="28"/>
      <c r="C148" s="28"/>
      <c r="D148" s="28"/>
      <c r="E148" s="28"/>
      <c r="F148" s="28"/>
      <c r="G148" s="28"/>
    </row>
    <row r="149" ht="15.75" customHeight="1">
      <c r="A149" s="28"/>
      <c r="B149" s="28"/>
      <c r="C149" s="28"/>
      <c r="D149" s="28"/>
      <c r="E149" s="28"/>
      <c r="F149" s="28"/>
      <c r="G149" s="28"/>
    </row>
    <row r="150" ht="15.75" customHeight="1">
      <c r="A150" s="28"/>
      <c r="B150" s="28"/>
      <c r="C150" s="28"/>
      <c r="D150" s="28"/>
      <c r="E150" s="28"/>
      <c r="F150" s="28"/>
      <c r="G150" s="28"/>
    </row>
    <row r="151" ht="15.75" customHeight="1">
      <c r="A151" s="28"/>
      <c r="B151" s="28"/>
      <c r="C151" s="28"/>
      <c r="D151" s="28"/>
      <c r="E151" s="28"/>
      <c r="F151" s="28"/>
      <c r="G151" s="28"/>
    </row>
    <row r="152" ht="15.75" customHeight="1">
      <c r="A152" s="28"/>
      <c r="B152" s="28"/>
      <c r="C152" s="28"/>
      <c r="D152" s="28"/>
      <c r="E152" s="28"/>
      <c r="F152" s="28"/>
      <c r="G152" s="28"/>
    </row>
    <row r="153" ht="15.75" customHeight="1">
      <c r="A153" s="28"/>
      <c r="B153" s="28"/>
      <c r="C153" s="28"/>
      <c r="D153" s="28"/>
      <c r="E153" s="28"/>
      <c r="F153" s="28"/>
      <c r="G153" s="28"/>
    </row>
    <row r="154" ht="15.75" customHeight="1">
      <c r="A154" s="28"/>
      <c r="B154" s="28"/>
      <c r="C154" s="28"/>
      <c r="D154" s="28"/>
      <c r="E154" s="28"/>
      <c r="F154" s="28"/>
      <c r="G154" s="28"/>
    </row>
    <row r="155" ht="15.75" customHeight="1">
      <c r="A155" s="28"/>
      <c r="B155" s="28"/>
      <c r="C155" s="28"/>
      <c r="D155" s="28"/>
      <c r="E155" s="28"/>
      <c r="F155" s="28"/>
      <c r="G155" s="28"/>
    </row>
    <row r="156" ht="15.75" customHeight="1">
      <c r="A156" s="28"/>
      <c r="B156" s="28"/>
      <c r="C156" s="28"/>
      <c r="D156" s="28"/>
      <c r="E156" s="28"/>
      <c r="F156" s="28"/>
      <c r="G156" s="28"/>
    </row>
    <row r="157" ht="15.75" customHeight="1">
      <c r="A157" s="28"/>
      <c r="B157" s="28"/>
      <c r="C157" s="28"/>
      <c r="D157" s="28"/>
      <c r="E157" s="28"/>
      <c r="F157" s="28"/>
      <c r="G157" s="28"/>
    </row>
    <row r="158" ht="15.75" customHeight="1">
      <c r="A158" s="28"/>
      <c r="B158" s="28"/>
      <c r="C158" s="28"/>
      <c r="D158" s="28"/>
      <c r="E158" s="28"/>
      <c r="F158" s="28"/>
      <c r="G158" s="28"/>
    </row>
    <row r="159" ht="15.75" customHeight="1">
      <c r="A159" s="28"/>
      <c r="B159" s="28"/>
      <c r="C159" s="28"/>
      <c r="D159" s="28"/>
      <c r="E159" s="28"/>
      <c r="F159" s="28"/>
      <c r="G159" s="28"/>
    </row>
    <row r="160" ht="15.75" customHeight="1">
      <c r="A160" s="28"/>
      <c r="B160" s="28"/>
      <c r="C160" s="28"/>
      <c r="D160" s="28"/>
      <c r="E160" s="28"/>
      <c r="F160" s="28"/>
      <c r="G160" s="28"/>
    </row>
    <row r="161" ht="15.75" customHeight="1">
      <c r="A161" s="28"/>
      <c r="B161" s="28"/>
      <c r="C161" s="28"/>
      <c r="D161" s="28"/>
      <c r="E161" s="28"/>
      <c r="F161" s="28"/>
      <c r="G161" s="28"/>
    </row>
    <row r="162" ht="15.75" customHeight="1">
      <c r="A162" s="28"/>
      <c r="B162" s="28"/>
      <c r="C162" s="28"/>
      <c r="D162" s="28"/>
      <c r="E162" s="28"/>
      <c r="F162" s="28"/>
      <c r="G162" s="28"/>
    </row>
    <row r="163" ht="15.75" customHeight="1">
      <c r="A163" s="28"/>
      <c r="B163" s="28"/>
      <c r="C163" s="28"/>
      <c r="D163" s="28"/>
      <c r="E163" s="28"/>
      <c r="F163" s="28"/>
      <c r="G163" s="28"/>
    </row>
    <row r="164" ht="15.75" customHeight="1">
      <c r="A164" s="28"/>
      <c r="B164" s="28"/>
      <c r="C164" s="28"/>
      <c r="D164" s="28"/>
      <c r="E164" s="28"/>
      <c r="F164" s="28"/>
      <c r="G164" s="28"/>
    </row>
    <row r="165" ht="15.75" customHeight="1">
      <c r="A165" s="28"/>
      <c r="B165" s="28"/>
      <c r="C165" s="28"/>
      <c r="D165" s="28"/>
      <c r="E165" s="28"/>
      <c r="F165" s="28"/>
      <c r="G165" s="28"/>
    </row>
    <row r="166" ht="15.75" customHeight="1">
      <c r="A166" s="28"/>
      <c r="B166" s="28"/>
      <c r="C166" s="28"/>
      <c r="D166" s="28"/>
      <c r="E166" s="28"/>
      <c r="F166" s="28"/>
      <c r="G166" s="28"/>
    </row>
    <row r="167" ht="15.75" customHeight="1">
      <c r="A167" s="28"/>
      <c r="B167" s="28"/>
      <c r="C167" s="28"/>
      <c r="D167" s="28"/>
      <c r="E167" s="28"/>
      <c r="F167" s="28"/>
      <c r="G167" s="28"/>
    </row>
    <row r="168" ht="15.75" customHeight="1">
      <c r="A168" s="28"/>
      <c r="B168" s="28"/>
      <c r="C168" s="28"/>
      <c r="D168" s="28"/>
      <c r="E168" s="28"/>
      <c r="F168" s="28"/>
      <c r="G168" s="28"/>
    </row>
    <row r="169" ht="15.75" customHeight="1">
      <c r="A169" s="28"/>
      <c r="B169" s="28"/>
      <c r="C169" s="28"/>
      <c r="D169" s="28"/>
      <c r="E169" s="28"/>
      <c r="F169" s="28"/>
      <c r="G169" s="28"/>
    </row>
    <row r="170" ht="15.75" customHeight="1">
      <c r="A170" s="28"/>
      <c r="B170" s="28"/>
      <c r="C170" s="28"/>
      <c r="D170" s="28"/>
      <c r="E170" s="28"/>
      <c r="F170" s="28"/>
      <c r="G170" s="28"/>
    </row>
    <row r="171" ht="15.75" customHeight="1">
      <c r="A171" s="28"/>
      <c r="B171" s="28"/>
      <c r="C171" s="28"/>
      <c r="D171" s="28"/>
      <c r="E171" s="28"/>
      <c r="F171" s="28"/>
      <c r="G171" s="28"/>
    </row>
    <row r="172" ht="15.75" customHeight="1">
      <c r="A172" s="28"/>
      <c r="B172" s="28"/>
      <c r="C172" s="28"/>
      <c r="D172" s="28"/>
      <c r="E172" s="28"/>
      <c r="F172" s="28"/>
      <c r="G172" s="28"/>
    </row>
    <row r="173" ht="15.75" customHeight="1">
      <c r="A173" s="28"/>
      <c r="B173" s="28"/>
      <c r="C173" s="28"/>
      <c r="D173" s="28"/>
      <c r="E173" s="28"/>
      <c r="F173" s="28"/>
      <c r="G173" s="28"/>
    </row>
    <row r="174" ht="15.75" customHeight="1">
      <c r="A174" s="28"/>
      <c r="B174" s="28"/>
      <c r="C174" s="28"/>
      <c r="D174" s="28"/>
      <c r="E174" s="28"/>
      <c r="F174" s="28"/>
      <c r="G174" s="28"/>
    </row>
    <row r="175" ht="15.75" customHeight="1">
      <c r="A175" s="28"/>
      <c r="B175" s="28"/>
      <c r="C175" s="28"/>
      <c r="D175" s="28"/>
      <c r="E175" s="28"/>
      <c r="F175" s="28"/>
      <c r="G175" s="28"/>
    </row>
    <row r="176" ht="15.75" customHeight="1">
      <c r="A176" s="28"/>
      <c r="B176" s="28"/>
      <c r="C176" s="28"/>
      <c r="D176" s="28"/>
      <c r="E176" s="28"/>
      <c r="F176" s="28"/>
      <c r="G176" s="28"/>
    </row>
    <row r="177" ht="15.75" customHeight="1">
      <c r="A177" s="28"/>
      <c r="B177" s="28"/>
      <c r="C177" s="28"/>
      <c r="D177" s="28"/>
      <c r="E177" s="28"/>
      <c r="F177" s="28"/>
      <c r="G177" s="28"/>
    </row>
    <row r="178" ht="15.75" customHeight="1">
      <c r="A178" s="28"/>
      <c r="B178" s="28"/>
      <c r="C178" s="28"/>
      <c r="D178" s="28"/>
      <c r="E178" s="28"/>
      <c r="F178" s="28"/>
      <c r="G178" s="28"/>
    </row>
    <row r="179" ht="15.75" customHeight="1">
      <c r="A179" s="28"/>
      <c r="B179" s="28"/>
      <c r="C179" s="28"/>
      <c r="D179" s="28"/>
      <c r="E179" s="28"/>
      <c r="F179" s="28"/>
      <c r="G179" s="28"/>
    </row>
    <row r="180" ht="15.75" customHeight="1">
      <c r="A180" s="28"/>
      <c r="B180" s="28"/>
      <c r="C180" s="28"/>
      <c r="D180" s="28"/>
      <c r="E180" s="28"/>
      <c r="F180" s="28"/>
      <c r="G180" s="28"/>
    </row>
    <row r="181" ht="15.75" customHeight="1">
      <c r="A181" s="28"/>
      <c r="B181" s="28"/>
      <c r="C181" s="28"/>
      <c r="D181" s="28"/>
      <c r="E181" s="28"/>
      <c r="F181" s="28"/>
      <c r="G181" s="28"/>
    </row>
    <row r="182" ht="15.75" customHeight="1">
      <c r="A182" s="28"/>
      <c r="B182" s="28"/>
      <c r="C182" s="28"/>
      <c r="D182" s="28"/>
      <c r="E182" s="28"/>
      <c r="F182" s="28"/>
      <c r="G182" s="28"/>
    </row>
    <row r="183" ht="15.75" customHeight="1">
      <c r="A183" s="28"/>
      <c r="B183" s="28"/>
      <c r="C183" s="28"/>
      <c r="D183" s="28"/>
      <c r="E183" s="28"/>
      <c r="F183" s="28"/>
      <c r="G183" s="28"/>
    </row>
    <row r="184" ht="15.75" customHeight="1">
      <c r="A184" s="28"/>
      <c r="B184" s="28"/>
      <c r="C184" s="28"/>
      <c r="D184" s="28"/>
      <c r="E184" s="28"/>
      <c r="F184" s="28"/>
      <c r="G184" s="28"/>
    </row>
    <row r="185" ht="15.75" customHeight="1">
      <c r="A185" s="28"/>
      <c r="B185" s="28"/>
      <c r="C185" s="28"/>
      <c r="D185" s="28"/>
      <c r="E185" s="28"/>
      <c r="F185" s="28"/>
      <c r="G185" s="28"/>
    </row>
    <row r="186" ht="15.75" customHeight="1">
      <c r="A186" s="28"/>
      <c r="B186" s="28"/>
      <c r="C186" s="28"/>
      <c r="D186" s="28"/>
      <c r="E186" s="28"/>
      <c r="F186" s="28"/>
      <c r="G186" s="28"/>
    </row>
    <row r="187" ht="15.75" customHeight="1">
      <c r="A187" s="28"/>
      <c r="B187" s="28"/>
      <c r="C187" s="28"/>
      <c r="D187" s="28"/>
      <c r="E187" s="28"/>
      <c r="F187" s="28"/>
      <c r="G187" s="28"/>
    </row>
    <row r="188" ht="15.75" customHeight="1">
      <c r="A188" s="28"/>
      <c r="B188" s="28"/>
      <c r="C188" s="28"/>
      <c r="D188" s="28"/>
      <c r="E188" s="28"/>
      <c r="F188" s="28"/>
      <c r="G188" s="28"/>
    </row>
    <row r="189" ht="15.75" customHeight="1">
      <c r="A189" s="28"/>
      <c r="B189" s="28"/>
      <c r="C189" s="28"/>
      <c r="D189" s="28"/>
      <c r="E189" s="28"/>
      <c r="F189" s="28"/>
      <c r="G189" s="28"/>
    </row>
    <row r="190" ht="15.75" customHeight="1">
      <c r="A190" s="28"/>
      <c r="B190" s="28"/>
      <c r="C190" s="28"/>
      <c r="D190" s="28"/>
      <c r="E190" s="28"/>
      <c r="F190" s="28"/>
      <c r="G190" s="28"/>
    </row>
    <row r="191" ht="15.75" customHeight="1">
      <c r="A191" s="28"/>
      <c r="B191" s="28"/>
      <c r="C191" s="28"/>
      <c r="D191" s="28"/>
      <c r="E191" s="28"/>
      <c r="F191" s="28"/>
      <c r="G191" s="28"/>
    </row>
    <row r="192" ht="15.75" customHeight="1">
      <c r="A192" s="28"/>
      <c r="B192" s="28"/>
      <c r="C192" s="28"/>
      <c r="D192" s="28"/>
      <c r="E192" s="28"/>
      <c r="F192" s="28"/>
      <c r="G192" s="28"/>
    </row>
    <row r="193" ht="15.75" customHeight="1">
      <c r="A193" s="28"/>
      <c r="B193" s="28"/>
      <c r="C193" s="28"/>
      <c r="D193" s="28"/>
      <c r="E193" s="28"/>
      <c r="F193" s="28"/>
      <c r="G193" s="28"/>
    </row>
    <row r="194" ht="15.75" customHeight="1">
      <c r="A194" s="28"/>
      <c r="B194" s="28"/>
      <c r="C194" s="28"/>
      <c r="D194" s="28"/>
      <c r="E194" s="28"/>
      <c r="F194" s="28"/>
      <c r="G194" s="28"/>
    </row>
    <row r="195" ht="15.75" customHeight="1">
      <c r="A195" s="28"/>
      <c r="B195" s="28"/>
      <c r="C195" s="28"/>
      <c r="D195" s="28"/>
      <c r="E195" s="28"/>
      <c r="F195" s="28"/>
      <c r="G195" s="28"/>
    </row>
    <row r="196" ht="15.75" customHeight="1">
      <c r="A196" s="28"/>
      <c r="B196" s="28"/>
      <c r="C196" s="28"/>
      <c r="D196" s="28"/>
      <c r="E196" s="28"/>
      <c r="F196" s="28"/>
      <c r="G196" s="28"/>
    </row>
    <row r="197" ht="15.75" customHeight="1">
      <c r="A197" s="28"/>
      <c r="B197" s="28"/>
      <c r="C197" s="28"/>
      <c r="D197" s="28"/>
      <c r="E197" s="28"/>
      <c r="F197" s="28"/>
      <c r="G197" s="28"/>
    </row>
    <row r="198" ht="15.75" customHeight="1">
      <c r="A198" s="28"/>
      <c r="B198" s="28"/>
      <c r="C198" s="28"/>
      <c r="D198" s="28"/>
      <c r="E198" s="28"/>
      <c r="F198" s="28"/>
      <c r="G198" s="28"/>
    </row>
    <row r="199" ht="15.75" customHeight="1">
      <c r="A199" s="28"/>
      <c r="B199" s="28"/>
      <c r="C199" s="28"/>
      <c r="D199" s="28"/>
      <c r="E199" s="28"/>
      <c r="F199" s="28"/>
      <c r="G199" s="28"/>
    </row>
    <row r="200" ht="15.75" customHeight="1">
      <c r="A200" s="28"/>
      <c r="B200" s="28"/>
      <c r="C200" s="28"/>
      <c r="D200" s="28"/>
      <c r="E200" s="28"/>
      <c r="F200" s="28"/>
      <c r="G200" s="28"/>
    </row>
    <row r="201" ht="15.75" customHeight="1">
      <c r="A201" s="28"/>
      <c r="B201" s="28"/>
      <c r="C201" s="28"/>
      <c r="D201" s="28"/>
      <c r="E201" s="28"/>
      <c r="F201" s="28"/>
      <c r="G201" s="28"/>
    </row>
    <row r="202" ht="15.75" customHeight="1">
      <c r="A202" s="28"/>
      <c r="B202" s="28"/>
      <c r="C202" s="28"/>
      <c r="D202" s="28"/>
      <c r="E202" s="28"/>
      <c r="F202" s="28"/>
      <c r="G202" s="28"/>
    </row>
    <row r="203" ht="15.75" customHeight="1">
      <c r="A203" s="28"/>
      <c r="B203" s="28"/>
      <c r="C203" s="28"/>
      <c r="D203" s="28"/>
      <c r="E203" s="28"/>
      <c r="F203" s="28"/>
      <c r="G203" s="28"/>
    </row>
    <row r="204" ht="15.75" customHeight="1">
      <c r="A204" s="28"/>
      <c r="B204" s="28"/>
      <c r="C204" s="28"/>
      <c r="D204" s="28"/>
      <c r="E204" s="28"/>
      <c r="F204" s="28"/>
      <c r="G204" s="28"/>
    </row>
    <row r="205" ht="15.75" customHeight="1">
      <c r="A205" s="28"/>
      <c r="B205" s="28"/>
      <c r="C205" s="28"/>
      <c r="D205" s="28"/>
      <c r="E205" s="28"/>
      <c r="F205" s="28"/>
      <c r="G205" s="28"/>
    </row>
    <row r="206" ht="15.75" customHeight="1">
      <c r="A206" s="28"/>
      <c r="B206" s="28"/>
      <c r="C206" s="28"/>
      <c r="D206" s="28"/>
      <c r="E206" s="28"/>
      <c r="F206" s="28"/>
      <c r="G206" s="28"/>
    </row>
    <row r="207" ht="15.75" customHeight="1">
      <c r="A207" s="28"/>
      <c r="B207" s="28"/>
      <c r="C207" s="28"/>
      <c r="D207" s="28"/>
      <c r="E207" s="28"/>
      <c r="F207" s="28"/>
      <c r="G207" s="28"/>
    </row>
    <row r="208" ht="15.75" customHeight="1">
      <c r="A208" s="28"/>
      <c r="B208" s="28"/>
      <c r="C208" s="28"/>
      <c r="D208" s="28"/>
      <c r="E208" s="28"/>
      <c r="F208" s="28"/>
      <c r="G208" s="28"/>
    </row>
    <row r="209" ht="15.75" customHeight="1">
      <c r="A209" s="28"/>
      <c r="B209" s="28"/>
      <c r="C209" s="28"/>
      <c r="D209" s="28"/>
      <c r="E209" s="28"/>
      <c r="F209" s="28"/>
      <c r="G209" s="28"/>
    </row>
    <row r="210" ht="15.75" customHeight="1">
      <c r="A210" s="28"/>
      <c r="B210" s="28"/>
      <c r="C210" s="28"/>
      <c r="D210" s="28"/>
      <c r="E210" s="28"/>
      <c r="F210" s="28"/>
      <c r="G210" s="28"/>
    </row>
    <row r="211" ht="15.75" customHeight="1">
      <c r="A211" s="28"/>
      <c r="B211" s="28"/>
      <c r="C211" s="28"/>
      <c r="D211" s="28"/>
      <c r="E211" s="28"/>
      <c r="F211" s="28"/>
      <c r="G211" s="28"/>
    </row>
    <row r="212" ht="15.75" customHeight="1">
      <c r="A212" s="28"/>
      <c r="B212" s="28"/>
      <c r="C212" s="28"/>
      <c r="D212" s="28"/>
      <c r="E212" s="28"/>
      <c r="F212" s="28"/>
      <c r="G212" s="28"/>
    </row>
    <row r="213" ht="15.75" customHeight="1">
      <c r="A213" s="28"/>
      <c r="B213" s="28"/>
      <c r="C213" s="28"/>
      <c r="D213" s="28"/>
      <c r="E213" s="28"/>
      <c r="F213" s="28"/>
      <c r="G213" s="28"/>
    </row>
    <row r="214" ht="15.75" customHeight="1">
      <c r="A214" s="28"/>
      <c r="B214" s="28"/>
      <c r="C214" s="28"/>
      <c r="D214" s="28"/>
      <c r="E214" s="28"/>
      <c r="F214" s="28"/>
      <c r="G214" s="28"/>
    </row>
    <row r="215" ht="15.75" customHeight="1">
      <c r="A215" s="28"/>
      <c r="B215" s="28"/>
      <c r="C215" s="28"/>
      <c r="D215" s="28"/>
      <c r="E215" s="28"/>
      <c r="F215" s="28"/>
      <c r="G215" s="28"/>
    </row>
    <row r="216" ht="15.75" customHeight="1">
      <c r="A216" s="28"/>
      <c r="B216" s="28"/>
      <c r="C216" s="28"/>
      <c r="D216" s="28"/>
      <c r="E216" s="28"/>
      <c r="F216" s="28"/>
      <c r="G216" s="28"/>
    </row>
    <row r="217" ht="15.75" customHeight="1">
      <c r="A217" s="28"/>
      <c r="B217" s="28"/>
      <c r="C217" s="28"/>
      <c r="D217" s="28"/>
      <c r="E217" s="28"/>
      <c r="F217" s="28"/>
      <c r="G217" s="28"/>
    </row>
    <row r="218" ht="15.75" customHeight="1">
      <c r="A218" s="28"/>
      <c r="B218" s="28"/>
      <c r="C218" s="28"/>
      <c r="D218" s="28"/>
      <c r="E218" s="28"/>
      <c r="F218" s="28"/>
      <c r="G218" s="28"/>
    </row>
    <row r="219" ht="15.75" customHeight="1">
      <c r="A219" s="28"/>
      <c r="B219" s="28"/>
      <c r="C219" s="28"/>
      <c r="D219" s="28"/>
      <c r="E219" s="28"/>
      <c r="F219" s="28"/>
      <c r="G219" s="28"/>
    </row>
    <row r="220" ht="15.75" customHeight="1">
      <c r="A220" s="28"/>
      <c r="B220" s="28"/>
      <c r="C220" s="28"/>
      <c r="D220" s="28"/>
      <c r="E220" s="28"/>
      <c r="F220" s="28"/>
      <c r="G220" s="28"/>
    </row>
    <row r="221" ht="15.75" customHeight="1">
      <c r="A221" s="28"/>
      <c r="B221" s="28"/>
      <c r="C221" s="28"/>
      <c r="D221" s="28"/>
      <c r="E221" s="28"/>
      <c r="F221" s="28"/>
      <c r="G221" s="28"/>
    </row>
    <row r="222" ht="15.75" customHeight="1">
      <c r="A222" s="28"/>
      <c r="B222" s="28"/>
      <c r="C222" s="28"/>
      <c r="D222" s="28"/>
      <c r="E222" s="28"/>
      <c r="F222" s="28"/>
      <c r="G222" s="28"/>
    </row>
    <row r="223" ht="15.75" customHeight="1">
      <c r="A223" s="28"/>
      <c r="B223" s="28"/>
      <c r="C223" s="28"/>
      <c r="D223" s="28"/>
      <c r="E223" s="28"/>
      <c r="F223" s="28"/>
      <c r="G223" s="28"/>
    </row>
    <row r="224" ht="15.75" customHeight="1">
      <c r="A224" s="28"/>
      <c r="B224" s="28"/>
      <c r="C224" s="28"/>
      <c r="D224" s="28"/>
      <c r="E224" s="28"/>
      <c r="F224" s="28"/>
      <c r="G224" s="28"/>
    </row>
    <row r="225" ht="15.75" customHeight="1">
      <c r="A225" s="28"/>
      <c r="B225" s="28"/>
      <c r="C225" s="28"/>
      <c r="D225" s="28"/>
      <c r="E225" s="28"/>
      <c r="F225" s="28"/>
      <c r="G225" s="28"/>
    </row>
    <row r="226" ht="15.75" customHeight="1">
      <c r="A226" s="28"/>
      <c r="B226" s="28"/>
      <c r="C226" s="28"/>
      <c r="D226" s="28"/>
      <c r="E226" s="28"/>
      <c r="F226" s="28"/>
      <c r="G226" s="28"/>
    </row>
    <row r="227" ht="15.75" customHeight="1">
      <c r="A227" s="28"/>
      <c r="B227" s="28"/>
      <c r="C227" s="28"/>
      <c r="D227" s="28"/>
      <c r="E227" s="28"/>
      <c r="F227" s="28"/>
      <c r="G227" s="28"/>
    </row>
    <row r="228" ht="15.75" customHeight="1">
      <c r="A228" s="28"/>
      <c r="B228" s="28"/>
      <c r="C228" s="28"/>
      <c r="D228" s="28"/>
      <c r="E228" s="28"/>
      <c r="F228" s="28"/>
      <c r="G228" s="28"/>
    </row>
    <row r="229" ht="15.75" customHeight="1">
      <c r="A229" s="28"/>
      <c r="B229" s="28"/>
      <c r="C229" s="28"/>
      <c r="D229" s="28"/>
      <c r="E229" s="28"/>
      <c r="F229" s="28"/>
      <c r="G229" s="28"/>
    </row>
    <row r="230" ht="15.75" customHeight="1">
      <c r="A230" s="28"/>
      <c r="B230" s="28"/>
      <c r="C230" s="28"/>
      <c r="D230" s="28"/>
      <c r="E230" s="28"/>
      <c r="F230" s="28"/>
      <c r="G230" s="28"/>
    </row>
    <row r="231" ht="15.75" customHeight="1">
      <c r="A231" s="28"/>
      <c r="B231" s="28"/>
      <c r="C231" s="28"/>
      <c r="D231" s="28"/>
      <c r="E231" s="28"/>
      <c r="F231" s="28"/>
      <c r="G231" s="28"/>
    </row>
    <row r="232" ht="15.75" customHeight="1">
      <c r="A232" s="28"/>
      <c r="B232" s="28"/>
      <c r="C232" s="28"/>
      <c r="D232" s="28"/>
      <c r="E232" s="28"/>
      <c r="F232" s="28"/>
      <c r="G232" s="28"/>
    </row>
    <row r="233" ht="15.75" customHeight="1">
      <c r="A233" s="28"/>
      <c r="B233" s="28"/>
      <c r="C233" s="28"/>
      <c r="D233" s="28"/>
      <c r="E233" s="28"/>
      <c r="F233" s="28"/>
      <c r="G233" s="28"/>
    </row>
    <row r="234" ht="15.75" customHeight="1">
      <c r="A234" s="28"/>
      <c r="B234" s="28"/>
      <c r="C234" s="28"/>
      <c r="D234" s="28"/>
      <c r="E234" s="28"/>
      <c r="F234" s="28"/>
      <c r="G234" s="28"/>
    </row>
    <row r="235" ht="15.75" customHeight="1">
      <c r="A235" s="28"/>
      <c r="B235" s="28"/>
      <c r="C235" s="28"/>
      <c r="D235" s="28"/>
      <c r="E235" s="28"/>
      <c r="F235" s="28"/>
      <c r="G235" s="28"/>
    </row>
    <row r="236" ht="15.75" customHeight="1">
      <c r="A236" s="28"/>
      <c r="B236" s="28"/>
      <c r="C236" s="28"/>
      <c r="D236" s="28"/>
      <c r="E236" s="28"/>
      <c r="F236" s="28"/>
      <c r="G236" s="28"/>
    </row>
    <row r="237" ht="15.75" customHeight="1">
      <c r="A237" s="28"/>
      <c r="B237" s="28"/>
      <c r="C237" s="28"/>
      <c r="D237" s="28"/>
      <c r="E237" s="28"/>
      <c r="F237" s="28"/>
      <c r="G237" s="28"/>
    </row>
    <row r="238" ht="15.75" customHeight="1">
      <c r="A238" s="28"/>
      <c r="B238" s="28"/>
      <c r="C238" s="28"/>
      <c r="D238" s="28"/>
      <c r="E238" s="28"/>
      <c r="F238" s="28"/>
      <c r="G238" s="28"/>
    </row>
    <row r="239" ht="15.75" customHeight="1">
      <c r="A239" s="28"/>
      <c r="B239" s="28"/>
      <c r="C239" s="28"/>
      <c r="D239" s="28"/>
      <c r="E239" s="28"/>
      <c r="F239" s="28"/>
      <c r="G239" s="28"/>
    </row>
    <row r="240" ht="15.75" customHeight="1">
      <c r="A240" s="28"/>
      <c r="B240" s="28"/>
      <c r="C240" s="28"/>
      <c r="D240" s="28"/>
      <c r="E240" s="28"/>
      <c r="F240" s="28"/>
      <c r="G240" s="28"/>
    </row>
    <row r="241" ht="15.75" customHeight="1">
      <c r="A241" s="28"/>
      <c r="B241" s="28"/>
      <c r="C241" s="28"/>
      <c r="D241" s="28"/>
      <c r="E241" s="28"/>
      <c r="F241" s="28"/>
      <c r="G241" s="28"/>
    </row>
    <row r="242" ht="15.75" customHeight="1">
      <c r="A242" s="28"/>
      <c r="B242" s="28"/>
      <c r="C242" s="28"/>
      <c r="D242" s="28"/>
      <c r="E242" s="28"/>
      <c r="F242" s="28"/>
      <c r="G242" s="28"/>
    </row>
    <row r="243" ht="15.75" customHeight="1">
      <c r="A243" s="28"/>
      <c r="B243" s="28"/>
      <c r="C243" s="28"/>
      <c r="D243" s="28"/>
      <c r="E243" s="28"/>
      <c r="F243" s="28"/>
      <c r="G243" s="28"/>
    </row>
    <row r="244" ht="15.75" customHeight="1">
      <c r="A244" s="28"/>
      <c r="B244" s="28"/>
      <c r="C244" s="28"/>
      <c r="D244" s="28"/>
      <c r="E244" s="28"/>
      <c r="F244" s="28"/>
      <c r="G244" s="28"/>
    </row>
    <row r="245" ht="15.75" customHeight="1">
      <c r="A245" s="28"/>
      <c r="B245" s="28"/>
      <c r="C245" s="28"/>
      <c r="D245" s="28"/>
      <c r="E245" s="28"/>
      <c r="F245" s="28"/>
      <c r="G245" s="28"/>
    </row>
    <row r="246" ht="15.75" customHeight="1">
      <c r="A246" s="28"/>
      <c r="B246" s="28"/>
      <c r="C246" s="28"/>
      <c r="D246" s="28"/>
      <c r="E246" s="28"/>
      <c r="F246" s="28"/>
      <c r="G246" s="28"/>
    </row>
    <row r="247" ht="15.75" customHeight="1">
      <c r="A247" s="28"/>
      <c r="B247" s="28"/>
      <c r="C247" s="28"/>
      <c r="D247" s="28"/>
      <c r="E247" s="28"/>
      <c r="F247" s="28"/>
      <c r="G247" s="28"/>
    </row>
    <row r="248" ht="15.75" customHeight="1">
      <c r="A248" s="28"/>
      <c r="B248" s="28"/>
      <c r="C248" s="28"/>
      <c r="D248" s="28"/>
      <c r="E248" s="28"/>
      <c r="F248" s="28"/>
      <c r="G248" s="28"/>
    </row>
    <row r="249" ht="15.75" customHeight="1">
      <c r="A249" s="28"/>
      <c r="B249" s="28"/>
      <c r="C249" s="28"/>
      <c r="D249" s="28"/>
      <c r="E249" s="28"/>
      <c r="F249" s="28"/>
      <c r="G249" s="28"/>
    </row>
    <row r="250" ht="15.75" customHeight="1">
      <c r="A250" s="28"/>
      <c r="B250" s="28"/>
      <c r="C250" s="28"/>
      <c r="D250" s="28"/>
      <c r="E250" s="28"/>
      <c r="F250" s="28"/>
      <c r="G250" s="28"/>
    </row>
    <row r="251" ht="15.75" customHeight="1">
      <c r="A251" s="28"/>
      <c r="B251" s="28"/>
      <c r="C251" s="28"/>
      <c r="D251" s="28"/>
      <c r="E251" s="28"/>
      <c r="F251" s="28"/>
      <c r="G251" s="28"/>
    </row>
    <row r="252" ht="15.75" customHeight="1">
      <c r="A252" s="28"/>
      <c r="B252" s="28"/>
      <c r="C252" s="28"/>
      <c r="D252" s="28"/>
      <c r="E252" s="28"/>
      <c r="F252" s="28"/>
      <c r="G252" s="28"/>
    </row>
    <row r="253" ht="15.75" customHeight="1">
      <c r="A253" s="28"/>
      <c r="B253" s="28"/>
      <c r="C253" s="28"/>
      <c r="D253" s="28"/>
      <c r="E253" s="28"/>
      <c r="F253" s="28"/>
      <c r="G253" s="28"/>
    </row>
    <row r="254" ht="15.75" customHeight="1">
      <c r="A254" s="28"/>
      <c r="B254" s="28"/>
      <c r="C254" s="28"/>
      <c r="D254" s="28"/>
      <c r="E254" s="28"/>
      <c r="F254" s="28"/>
      <c r="G254" s="28"/>
    </row>
    <row r="255" ht="15.75" customHeight="1">
      <c r="A255" s="28"/>
      <c r="B255" s="28"/>
      <c r="C255" s="28"/>
      <c r="D255" s="28"/>
      <c r="E255" s="28"/>
      <c r="F255" s="28"/>
      <c r="G255" s="28"/>
    </row>
    <row r="256" ht="15.75" customHeight="1">
      <c r="A256" s="28"/>
      <c r="B256" s="28"/>
      <c r="C256" s="28"/>
      <c r="D256" s="28"/>
      <c r="E256" s="28"/>
      <c r="F256" s="28"/>
      <c r="G256" s="28"/>
    </row>
    <row r="257" ht="15.75" customHeight="1">
      <c r="A257" s="28"/>
      <c r="B257" s="28"/>
      <c r="C257" s="28"/>
      <c r="D257" s="28"/>
      <c r="E257" s="28"/>
      <c r="F257" s="28"/>
      <c r="G257" s="28"/>
    </row>
    <row r="258" ht="15.75" customHeight="1">
      <c r="A258" s="28"/>
      <c r="B258" s="28"/>
      <c r="C258" s="28"/>
      <c r="D258" s="28"/>
      <c r="E258" s="28"/>
      <c r="F258" s="28"/>
      <c r="G258" s="28"/>
    </row>
    <row r="259" ht="15.75" customHeight="1">
      <c r="A259" s="28"/>
      <c r="B259" s="28"/>
      <c r="C259" s="28"/>
      <c r="D259" s="28"/>
      <c r="E259" s="28"/>
      <c r="F259" s="28"/>
      <c r="G259" s="28"/>
    </row>
    <row r="260" ht="15.75" customHeight="1">
      <c r="A260" s="28"/>
      <c r="B260" s="28"/>
      <c r="C260" s="28"/>
      <c r="D260" s="28"/>
      <c r="E260" s="28"/>
      <c r="F260" s="28"/>
      <c r="G260" s="28"/>
    </row>
    <row r="261" ht="15.75" customHeight="1">
      <c r="A261" s="28"/>
      <c r="B261" s="28"/>
      <c r="C261" s="28"/>
      <c r="D261" s="28"/>
      <c r="E261" s="28"/>
      <c r="F261" s="28"/>
      <c r="G261" s="28"/>
    </row>
    <row r="262" ht="15.75" customHeight="1">
      <c r="A262" s="28"/>
      <c r="B262" s="28"/>
      <c r="C262" s="28"/>
      <c r="D262" s="28"/>
      <c r="E262" s="28"/>
      <c r="F262" s="28"/>
      <c r="G262" s="28"/>
    </row>
    <row r="263" ht="15.75" customHeight="1">
      <c r="A263" s="28"/>
      <c r="B263" s="28"/>
      <c r="C263" s="28"/>
      <c r="D263" s="28"/>
      <c r="E263" s="28"/>
      <c r="F263" s="28"/>
      <c r="G263" s="28"/>
    </row>
    <row r="264" ht="15.75" customHeight="1">
      <c r="A264" s="28"/>
      <c r="B264" s="28"/>
      <c r="C264" s="28"/>
      <c r="D264" s="28"/>
      <c r="E264" s="28"/>
      <c r="F264" s="28"/>
      <c r="G264" s="28"/>
    </row>
    <row r="265" ht="15.75" customHeight="1">
      <c r="A265" s="28"/>
      <c r="B265" s="28"/>
      <c r="C265" s="28"/>
      <c r="D265" s="28"/>
      <c r="E265" s="28"/>
      <c r="F265" s="28"/>
      <c r="G265" s="28"/>
    </row>
    <row r="266" ht="15.75" customHeight="1">
      <c r="A266" s="28"/>
      <c r="B266" s="28"/>
      <c r="C266" s="28"/>
      <c r="D266" s="28"/>
      <c r="E266" s="28"/>
      <c r="F266" s="28"/>
      <c r="G266" s="28"/>
    </row>
    <row r="267" ht="15.75" customHeight="1">
      <c r="A267" s="28"/>
      <c r="B267" s="28"/>
      <c r="C267" s="28"/>
      <c r="D267" s="28"/>
      <c r="E267" s="28"/>
      <c r="F267" s="28"/>
      <c r="G267" s="28"/>
    </row>
    <row r="268" ht="15.75" customHeight="1">
      <c r="A268" s="28"/>
      <c r="B268" s="28"/>
      <c r="C268" s="28"/>
      <c r="D268" s="28"/>
      <c r="E268" s="28"/>
      <c r="F268" s="28"/>
      <c r="G268" s="28"/>
    </row>
    <row r="269" ht="15.75" customHeight="1">
      <c r="A269" s="28"/>
      <c r="B269" s="28"/>
      <c r="C269" s="28"/>
      <c r="D269" s="28"/>
      <c r="E269" s="28"/>
      <c r="F269" s="28"/>
      <c r="G269" s="28"/>
    </row>
    <row r="270" ht="15.75" customHeight="1">
      <c r="A270" s="28"/>
      <c r="B270" s="28"/>
      <c r="C270" s="28"/>
      <c r="D270" s="28"/>
      <c r="E270" s="28"/>
      <c r="F270" s="28"/>
      <c r="G270" s="28"/>
    </row>
    <row r="271" ht="15.75" customHeight="1">
      <c r="A271" s="28"/>
      <c r="B271" s="28"/>
      <c r="C271" s="28"/>
      <c r="D271" s="28"/>
      <c r="E271" s="28"/>
      <c r="F271" s="28"/>
      <c r="G271" s="28"/>
    </row>
    <row r="272" ht="15.75" customHeight="1">
      <c r="A272" s="28"/>
      <c r="B272" s="28"/>
      <c r="C272" s="28"/>
      <c r="D272" s="28"/>
      <c r="E272" s="28"/>
      <c r="F272" s="28"/>
      <c r="G272" s="28"/>
    </row>
    <row r="273" ht="15.75" customHeight="1">
      <c r="A273" s="28"/>
      <c r="B273" s="28"/>
      <c r="C273" s="28"/>
      <c r="D273" s="28"/>
      <c r="E273" s="28"/>
      <c r="F273" s="28"/>
      <c r="G273" s="28"/>
    </row>
    <row r="274" ht="15.75" customHeight="1">
      <c r="A274" s="28"/>
      <c r="B274" s="28"/>
      <c r="C274" s="28"/>
      <c r="D274" s="28"/>
      <c r="E274" s="28"/>
      <c r="F274" s="28"/>
      <c r="G274" s="28"/>
    </row>
    <row r="275" ht="15.75" customHeight="1">
      <c r="A275" s="28"/>
      <c r="B275" s="28"/>
      <c r="C275" s="28"/>
      <c r="D275" s="28"/>
      <c r="E275" s="28"/>
      <c r="F275" s="28"/>
      <c r="G275" s="28"/>
    </row>
    <row r="276" ht="15.75" customHeight="1">
      <c r="A276" s="28"/>
      <c r="B276" s="28"/>
      <c r="C276" s="28"/>
      <c r="D276" s="28"/>
      <c r="E276" s="28"/>
      <c r="F276" s="28"/>
      <c r="G276" s="28"/>
    </row>
    <row r="277" ht="15.75" customHeight="1">
      <c r="A277" s="28"/>
      <c r="B277" s="28"/>
      <c r="C277" s="28"/>
      <c r="D277" s="28"/>
      <c r="E277" s="28"/>
      <c r="F277" s="28"/>
      <c r="G277" s="28"/>
    </row>
    <row r="278" ht="15.75" customHeight="1">
      <c r="A278" s="28"/>
      <c r="B278" s="28"/>
      <c r="C278" s="28"/>
      <c r="D278" s="28"/>
      <c r="E278" s="28"/>
      <c r="F278" s="28"/>
      <c r="G278" s="28"/>
    </row>
    <row r="279" ht="15.75" customHeight="1">
      <c r="A279" s="28"/>
      <c r="B279" s="28"/>
      <c r="C279" s="28"/>
      <c r="D279" s="28"/>
      <c r="E279" s="28"/>
      <c r="F279" s="28"/>
      <c r="G279" s="28"/>
    </row>
    <row r="280" ht="15.75" customHeight="1">
      <c r="A280" s="28"/>
      <c r="B280" s="28"/>
      <c r="C280" s="28"/>
      <c r="D280" s="28"/>
      <c r="E280" s="28"/>
      <c r="F280" s="28"/>
      <c r="G280" s="28"/>
    </row>
    <row r="281" ht="15.75" customHeight="1">
      <c r="A281" s="28"/>
      <c r="B281" s="28"/>
      <c r="C281" s="28"/>
      <c r="D281" s="28"/>
      <c r="E281" s="28"/>
      <c r="F281" s="28"/>
      <c r="G281" s="28"/>
    </row>
    <row r="282" ht="15.75" customHeight="1">
      <c r="A282" s="28"/>
      <c r="B282" s="28"/>
      <c r="C282" s="28"/>
      <c r="D282" s="28"/>
      <c r="E282" s="28"/>
      <c r="F282" s="28"/>
      <c r="G282" s="28"/>
    </row>
    <row r="283" ht="15.75" customHeight="1">
      <c r="A283" s="28"/>
      <c r="B283" s="28"/>
      <c r="C283" s="28"/>
      <c r="D283" s="28"/>
      <c r="E283" s="28"/>
      <c r="F283" s="28"/>
      <c r="G283" s="28"/>
    </row>
    <row r="284" ht="15.75" customHeight="1">
      <c r="A284" s="28"/>
      <c r="B284" s="28"/>
      <c r="C284" s="28"/>
      <c r="D284" s="28"/>
      <c r="E284" s="28"/>
      <c r="F284" s="28"/>
      <c r="G284" s="28"/>
    </row>
    <row r="285" ht="15.75" customHeight="1">
      <c r="A285" s="28"/>
      <c r="B285" s="28"/>
      <c r="C285" s="28"/>
      <c r="D285" s="28"/>
      <c r="E285" s="28"/>
      <c r="F285" s="28"/>
      <c r="G285" s="28"/>
    </row>
    <row r="286" ht="15.75" customHeight="1">
      <c r="A286" s="28"/>
      <c r="B286" s="28"/>
      <c r="C286" s="28"/>
      <c r="D286" s="28"/>
      <c r="E286" s="28"/>
      <c r="F286" s="28"/>
      <c r="G286" s="28"/>
    </row>
    <row r="287" ht="15.75" customHeight="1">
      <c r="A287" s="28"/>
      <c r="B287" s="28"/>
      <c r="C287" s="28"/>
      <c r="D287" s="28"/>
      <c r="E287" s="28"/>
      <c r="F287" s="28"/>
      <c r="G287" s="28"/>
    </row>
    <row r="288" ht="15.75" customHeight="1">
      <c r="A288" s="28"/>
      <c r="B288" s="28"/>
      <c r="C288" s="28"/>
      <c r="D288" s="28"/>
      <c r="E288" s="28"/>
      <c r="F288" s="28"/>
      <c r="G288" s="28"/>
    </row>
    <row r="289" ht="15.75" customHeight="1">
      <c r="A289" s="28"/>
      <c r="B289" s="28"/>
      <c r="C289" s="28"/>
      <c r="D289" s="28"/>
      <c r="E289" s="28"/>
      <c r="F289" s="28"/>
      <c r="G289" s="28"/>
    </row>
    <row r="290" ht="15.75" customHeight="1">
      <c r="A290" s="28"/>
      <c r="B290" s="28"/>
      <c r="C290" s="28"/>
      <c r="D290" s="28"/>
      <c r="E290" s="28"/>
      <c r="F290" s="28"/>
      <c r="G290" s="28"/>
    </row>
    <row r="291" ht="15.75" customHeight="1">
      <c r="A291" s="28"/>
      <c r="B291" s="28"/>
      <c r="C291" s="28"/>
      <c r="D291" s="28"/>
      <c r="E291" s="28"/>
      <c r="F291" s="28"/>
      <c r="G291" s="28"/>
    </row>
    <row r="292" ht="15.75" customHeight="1">
      <c r="A292" s="28"/>
      <c r="B292" s="28"/>
      <c r="C292" s="28"/>
      <c r="D292" s="28"/>
      <c r="E292" s="28"/>
      <c r="F292" s="28"/>
      <c r="G292" s="28"/>
    </row>
    <row r="293" ht="15.75" customHeight="1">
      <c r="A293" s="28"/>
      <c r="B293" s="28"/>
      <c r="C293" s="28"/>
      <c r="D293" s="28"/>
      <c r="E293" s="28"/>
      <c r="F293" s="28"/>
      <c r="G293" s="28"/>
    </row>
    <row r="294" ht="15.75" customHeight="1">
      <c r="A294" s="28"/>
      <c r="B294" s="28"/>
      <c r="C294" s="28"/>
      <c r="D294" s="28"/>
      <c r="E294" s="28"/>
      <c r="F294" s="28"/>
      <c r="G294" s="28"/>
    </row>
    <row r="295" ht="15.75" customHeight="1">
      <c r="A295" s="28"/>
      <c r="B295" s="28"/>
      <c r="C295" s="28"/>
      <c r="D295" s="28"/>
      <c r="E295" s="28"/>
      <c r="F295" s="28"/>
      <c r="G295" s="28"/>
    </row>
    <row r="296" ht="15.75" customHeight="1">
      <c r="A296" s="28"/>
      <c r="B296" s="28"/>
      <c r="C296" s="28"/>
      <c r="D296" s="28"/>
      <c r="E296" s="28"/>
      <c r="F296" s="28"/>
      <c r="G296" s="28"/>
    </row>
    <row r="297" ht="15.75" customHeight="1">
      <c r="A297" s="28"/>
      <c r="B297" s="28"/>
      <c r="C297" s="28"/>
      <c r="D297" s="28"/>
      <c r="E297" s="28"/>
      <c r="F297" s="28"/>
      <c r="G297" s="28"/>
    </row>
    <row r="298" ht="15.75" customHeight="1">
      <c r="A298" s="28"/>
      <c r="B298" s="28"/>
      <c r="C298" s="28"/>
      <c r="D298" s="28"/>
      <c r="E298" s="28"/>
      <c r="F298" s="28"/>
      <c r="G298" s="28"/>
    </row>
    <row r="299" ht="15.75" customHeight="1">
      <c r="A299" s="28"/>
      <c r="B299" s="28"/>
      <c r="C299" s="28"/>
      <c r="D299" s="28"/>
      <c r="E299" s="28"/>
      <c r="F299" s="28"/>
      <c r="G299" s="28"/>
    </row>
    <row r="300" ht="15.75" customHeight="1">
      <c r="A300" s="28"/>
      <c r="B300" s="28"/>
      <c r="C300" s="28"/>
      <c r="D300" s="28"/>
      <c r="E300" s="28"/>
      <c r="F300" s="28"/>
      <c r="G300" s="28"/>
    </row>
    <row r="301" ht="15.75" customHeight="1">
      <c r="A301" s="28"/>
      <c r="B301" s="28"/>
      <c r="C301" s="28"/>
      <c r="D301" s="28"/>
      <c r="E301" s="28"/>
      <c r="F301" s="28"/>
      <c r="G301" s="28"/>
    </row>
    <row r="302" ht="15.75" customHeight="1">
      <c r="A302" s="28"/>
      <c r="B302" s="28"/>
      <c r="C302" s="28"/>
      <c r="D302" s="28"/>
      <c r="E302" s="28"/>
      <c r="F302" s="28"/>
      <c r="G302" s="28"/>
    </row>
    <row r="303" ht="15.75" customHeight="1">
      <c r="A303" s="28"/>
      <c r="B303" s="28"/>
      <c r="C303" s="28"/>
      <c r="D303" s="28"/>
      <c r="E303" s="28"/>
      <c r="F303" s="28"/>
      <c r="G303" s="28"/>
    </row>
    <row r="304" ht="15.75" customHeight="1">
      <c r="A304" s="28"/>
      <c r="B304" s="28"/>
      <c r="C304" s="28"/>
      <c r="D304" s="28"/>
      <c r="E304" s="28"/>
      <c r="F304" s="28"/>
      <c r="G304" s="28"/>
    </row>
    <row r="305" ht="15.75" customHeight="1">
      <c r="A305" s="28"/>
      <c r="B305" s="28"/>
      <c r="C305" s="28"/>
      <c r="D305" s="28"/>
      <c r="E305" s="28"/>
      <c r="F305" s="28"/>
      <c r="G305" s="28"/>
    </row>
    <row r="306" ht="15.75" customHeight="1">
      <c r="A306" s="28"/>
      <c r="B306" s="28"/>
      <c r="C306" s="28"/>
      <c r="D306" s="28"/>
      <c r="E306" s="28"/>
      <c r="F306" s="28"/>
      <c r="G306" s="28"/>
    </row>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31">
    <mergeCell ref="I15:N15"/>
    <mergeCell ref="M16:N16"/>
    <mergeCell ref="B2:N2"/>
    <mergeCell ref="B3:N3"/>
    <mergeCell ref="B5:C5"/>
    <mergeCell ref="D5:E5"/>
    <mergeCell ref="B14:N14"/>
    <mergeCell ref="B15:G15"/>
    <mergeCell ref="F16:G16"/>
    <mergeCell ref="F21:G21"/>
    <mergeCell ref="F22:G22"/>
    <mergeCell ref="F23:G23"/>
    <mergeCell ref="F25:G25"/>
    <mergeCell ref="F26:G26"/>
    <mergeCell ref="F27:G27"/>
    <mergeCell ref="F29:G29"/>
    <mergeCell ref="F17:G17"/>
    <mergeCell ref="M17:N17"/>
    <mergeCell ref="F18:G18"/>
    <mergeCell ref="M18:N18"/>
    <mergeCell ref="F19:G19"/>
    <mergeCell ref="M19:N19"/>
    <mergeCell ref="M21:N21"/>
    <mergeCell ref="M22:N22"/>
    <mergeCell ref="M23:N23"/>
    <mergeCell ref="M25:N25"/>
    <mergeCell ref="M26:N26"/>
    <mergeCell ref="M27:N27"/>
    <mergeCell ref="M29:N29"/>
    <mergeCell ref="B31:N31"/>
    <mergeCell ref="M41:N41"/>
    <mergeCell ref="M42:N42"/>
    <mergeCell ref="B32:G32"/>
    <mergeCell ref="I32:N32"/>
    <mergeCell ref="B39:N39"/>
    <mergeCell ref="B40:G40"/>
    <mergeCell ref="I40:N40"/>
    <mergeCell ref="F41:G41"/>
    <mergeCell ref="F42:G4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I93:N93"/>
    <mergeCell ref="I94:N94"/>
    <mergeCell ref="B90:D90"/>
    <mergeCell ref="F90:G90"/>
    <mergeCell ref="I90:K90"/>
    <mergeCell ref="M90:N90"/>
    <mergeCell ref="B92:N92"/>
    <mergeCell ref="B93:G93"/>
    <mergeCell ref="B94:G94"/>
    <mergeCell ref="B95:G95"/>
    <mergeCell ref="I95:N95"/>
    <mergeCell ref="B96:G99"/>
    <mergeCell ref="I96:N99"/>
    <mergeCell ref="B101:G101"/>
    <mergeCell ref="I101:N101"/>
    <mergeCell ref="I102:N102"/>
    <mergeCell ref="I109:N109"/>
    <mergeCell ref="I110:N113"/>
    <mergeCell ref="B102:G102"/>
    <mergeCell ref="B103:G106"/>
    <mergeCell ref="I103:N106"/>
    <mergeCell ref="B108:G108"/>
    <mergeCell ref="I108:N108"/>
    <mergeCell ref="B109:G109"/>
    <mergeCell ref="B110:G113"/>
    <mergeCell ref="F43:G43"/>
    <mergeCell ref="M43:N43"/>
    <mergeCell ref="F44:G44"/>
    <mergeCell ref="M44:N44"/>
    <mergeCell ref="F45:G45"/>
    <mergeCell ref="M45:N45"/>
    <mergeCell ref="M46:N46"/>
    <mergeCell ref="B55:N55"/>
    <mergeCell ref="B56:G56"/>
    <mergeCell ref="I56:N56"/>
    <mergeCell ref="F46:G46"/>
    <mergeCell ref="F47:G47"/>
    <mergeCell ref="F48:G48"/>
    <mergeCell ref="F49:G49"/>
    <mergeCell ref="F50:G50"/>
    <mergeCell ref="F51:G51"/>
    <mergeCell ref="F52:G52"/>
    <mergeCell ref="M47:N47"/>
    <mergeCell ref="M48:N48"/>
    <mergeCell ref="M49:N49"/>
    <mergeCell ref="M50:N50"/>
    <mergeCell ref="M51:N51"/>
    <mergeCell ref="M52:N52"/>
    <mergeCell ref="M53:N53"/>
    <mergeCell ref="F53:G53"/>
    <mergeCell ref="F57:G57"/>
    <mergeCell ref="F58:G58"/>
    <mergeCell ref="F59:G59"/>
    <mergeCell ref="F60:G60"/>
    <mergeCell ref="F61:G61"/>
    <mergeCell ref="F62:G62"/>
    <mergeCell ref="M57:N57"/>
    <mergeCell ref="M58:N58"/>
    <mergeCell ref="M59:N59"/>
    <mergeCell ref="M60:N60"/>
    <mergeCell ref="M61:N61"/>
    <mergeCell ref="M62:N62"/>
    <mergeCell ref="M63:N63"/>
    <mergeCell ref="M71:N71"/>
    <mergeCell ref="M72:N72"/>
    <mergeCell ref="M73:N73"/>
    <mergeCell ref="M74:N74"/>
    <mergeCell ref="M75:N75"/>
    <mergeCell ref="M76:N76"/>
    <mergeCell ref="B78:N78"/>
    <mergeCell ref="B79:N79"/>
    <mergeCell ref="M64:N64"/>
    <mergeCell ref="M65:N65"/>
    <mergeCell ref="M66:N66"/>
    <mergeCell ref="M67:N67"/>
    <mergeCell ref="M68:N68"/>
    <mergeCell ref="M69:N69"/>
    <mergeCell ref="M70:N70"/>
  </mergeCells>
  <conditionalFormatting sqref="E42:E53 E58:E76 L58:L76 L42:L53">
    <cfRule type="cellIs" dxfId="2" priority="1" operator="greaterThan">
      <formula>"100%"</formula>
    </cfRule>
  </conditionalFormatting>
  <conditionalFormatting sqref="E42:E53 E58:E76 L58:L76 L42:L53">
    <cfRule type="cellIs" dxfId="1" priority="2" operator="lessThan">
      <formula>"100%"</formula>
    </cfRule>
  </conditionalFormatting>
  <conditionalFormatting sqref="E42:E53 E58:E76">
    <cfRule type="cellIs" dxfId="3" priority="3" operator="equal">
      <formula>"100%"</formula>
    </cfRule>
  </conditionalFormatting>
  <conditionalFormatting sqref="L42:L53 L58:L76">
    <cfRule type="cellIs" dxfId="0" priority="4" operator="equal">
      <formula>"100%"</formula>
    </cfRule>
  </conditionalFormatting>
  <dataValidations>
    <dataValidation type="list" allowBlank="1" showInputMessage="1" showErrorMessage="1" prompt="Nilai Tidak Valid - Silakan pilih nilai 1–5 dari dropdown." sqref="E81:E89 L81:L89">
      <formula1>"1,2,3,4,5"</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
    <col customWidth="1" min="2" max="2" width="26.0"/>
    <col customWidth="1" min="3" max="3" width="24.0"/>
    <col customWidth="1" min="4" max="4" width="25.29"/>
    <col customWidth="1" min="5" max="5" width="26.43"/>
    <col customWidth="1" min="6" max="6" width="18.0"/>
    <col customWidth="1" min="7" max="7" width="28.0"/>
    <col customWidth="1" min="9" max="9" width="25.29"/>
    <col customWidth="1" min="10" max="10" width="17.43"/>
    <col customWidth="1" min="12" max="12" width="19.0"/>
  </cols>
  <sheetData>
    <row r="1">
      <c r="A1" s="400"/>
      <c r="B1" s="28"/>
      <c r="C1" s="28"/>
      <c r="D1" s="28"/>
      <c r="E1" s="28"/>
      <c r="F1" s="28"/>
      <c r="G1" s="28"/>
    </row>
    <row r="2">
      <c r="A2" s="351"/>
      <c r="B2" s="352" t="s">
        <v>502</v>
      </c>
      <c r="C2" s="30"/>
      <c r="D2" s="30"/>
      <c r="E2" s="30"/>
      <c r="F2" s="30"/>
      <c r="G2" s="30"/>
      <c r="H2" s="30"/>
      <c r="I2" s="30"/>
      <c r="J2" s="30"/>
      <c r="K2" s="30"/>
      <c r="L2" s="30"/>
      <c r="M2" s="30"/>
      <c r="N2" s="3"/>
      <c r="O2" s="353"/>
      <c r="P2" s="353"/>
      <c r="Q2" s="353"/>
      <c r="R2" s="353"/>
      <c r="S2" s="353"/>
      <c r="T2" s="353"/>
      <c r="U2" s="353"/>
      <c r="V2" s="353"/>
      <c r="W2" s="353"/>
      <c r="X2" s="353"/>
      <c r="Y2" s="353"/>
      <c r="Z2" s="353"/>
    </row>
    <row r="3">
      <c r="A3" s="28"/>
      <c r="B3" s="133"/>
      <c r="C3" s="30"/>
      <c r="D3" s="30"/>
      <c r="E3" s="30"/>
      <c r="F3" s="30"/>
      <c r="G3" s="30"/>
      <c r="H3" s="30"/>
      <c r="I3" s="30"/>
      <c r="J3" s="30"/>
      <c r="K3" s="30"/>
      <c r="L3" s="30"/>
      <c r="M3" s="30"/>
      <c r="N3" s="3"/>
    </row>
    <row r="4">
      <c r="A4" s="28"/>
      <c r="B4" s="28"/>
      <c r="C4" s="28"/>
      <c r="D4" s="28"/>
      <c r="E4" s="28"/>
      <c r="F4" s="28"/>
      <c r="G4" s="28"/>
    </row>
    <row r="5" ht="24.75" customHeight="1">
      <c r="A5" s="142"/>
      <c r="B5" s="134" t="s">
        <v>146</v>
      </c>
      <c r="C5" s="27"/>
      <c r="D5" s="134" t="s">
        <v>147</v>
      </c>
      <c r="E5" s="27"/>
      <c r="F5" s="142"/>
      <c r="G5" s="142"/>
      <c r="H5" s="146"/>
      <c r="I5" s="146"/>
      <c r="J5" s="146"/>
      <c r="K5" s="146"/>
      <c r="L5" s="146"/>
      <c r="M5" s="146"/>
      <c r="N5" s="146"/>
      <c r="O5" s="146"/>
      <c r="P5" s="146"/>
      <c r="Q5" s="146"/>
      <c r="R5" s="146"/>
      <c r="S5" s="146"/>
      <c r="T5" s="146"/>
      <c r="U5" s="146"/>
      <c r="V5" s="146"/>
      <c r="W5" s="146"/>
      <c r="X5" s="146"/>
      <c r="Y5" s="146"/>
      <c r="Z5" s="146"/>
    </row>
    <row r="6">
      <c r="A6" s="28"/>
      <c r="B6" s="135" t="s">
        <v>148</v>
      </c>
      <c r="C6" s="136">
        <v>28.0</v>
      </c>
      <c r="D6" s="135" t="s">
        <v>149</v>
      </c>
      <c r="E6" s="138" t="s">
        <v>365</v>
      </c>
      <c r="F6" s="28"/>
      <c r="G6" s="28"/>
    </row>
    <row r="7">
      <c r="A7" s="28"/>
      <c r="B7" s="139" t="s">
        <v>150</v>
      </c>
      <c r="C7" s="136" t="s">
        <v>151</v>
      </c>
      <c r="D7" s="139" t="s">
        <v>152</v>
      </c>
      <c r="E7" s="138" t="s">
        <v>503</v>
      </c>
      <c r="F7" s="28"/>
      <c r="G7" s="28"/>
    </row>
    <row r="8">
      <c r="A8" s="28"/>
      <c r="B8" s="135" t="s">
        <v>154</v>
      </c>
      <c r="C8" s="136">
        <v>68.0</v>
      </c>
      <c r="D8" s="135" t="s">
        <v>155</v>
      </c>
      <c r="E8" s="138" t="s">
        <v>504</v>
      </c>
      <c r="F8" s="28"/>
      <c r="G8" s="28"/>
    </row>
    <row r="9">
      <c r="A9" s="28"/>
      <c r="B9" s="139" t="s">
        <v>157</v>
      </c>
      <c r="C9" s="136">
        <v>178.0</v>
      </c>
      <c r="D9" s="139" t="s">
        <v>158</v>
      </c>
      <c r="E9" s="138" t="s">
        <v>505</v>
      </c>
      <c r="F9" s="28"/>
      <c r="G9" s="28"/>
    </row>
    <row r="10">
      <c r="A10" s="28"/>
      <c r="B10" s="135" t="s">
        <v>160</v>
      </c>
      <c r="C10" s="136" t="s">
        <v>161</v>
      </c>
      <c r="D10" s="135" t="s">
        <v>162</v>
      </c>
      <c r="E10" s="138" t="s">
        <v>506</v>
      </c>
      <c r="F10" s="28"/>
      <c r="G10" s="28"/>
    </row>
    <row r="11">
      <c r="A11" s="28"/>
      <c r="B11" s="139" t="s">
        <v>93</v>
      </c>
      <c r="C11" s="136" t="s">
        <v>507</v>
      </c>
      <c r="D11" s="139" t="s">
        <v>165</v>
      </c>
      <c r="E11" s="138" t="s">
        <v>508</v>
      </c>
      <c r="F11" s="28"/>
      <c r="G11" s="28"/>
    </row>
    <row r="12">
      <c r="A12" s="28"/>
      <c r="B12" s="141"/>
      <c r="C12" s="141"/>
      <c r="D12" s="135" t="s">
        <v>167</v>
      </c>
      <c r="E12" s="138" t="s">
        <v>168</v>
      </c>
      <c r="F12" s="28"/>
      <c r="G12" s="28"/>
    </row>
    <row r="13">
      <c r="A13" s="28"/>
      <c r="B13" s="28"/>
      <c r="C13" s="28"/>
      <c r="D13" s="28"/>
      <c r="E13" s="28"/>
      <c r="F13" s="28"/>
      <c r="G13" s="28"/>
    </row>
    <row r="14" ht="24.75" customHeight="1">
      <c r="A14" s="142"/>
      <c r="B14" s="143" t="s">
        <v>169</v>
      </c>
      <c r="C14" s="144"/>
      <c r="D14" s="144"/>
      <c r="E14" s="144"/>
      <c r="F14" s="144"/>
      <c r="G14" s="144"/>
      <c r="H14" s="144"/>
      <c r="I14" s="144"/>
      <c r="J14" s="144"/>
      <c r="K14" s="144"/>
      <c r="L14" s="144"/>
      <c r="M14" s="144"/>
      <c r="N14" s="145"/>
      <c r="O14" s="146"/>
      <c r="P14" s="146"/>
      <c r="Q14" s="146"/>
      <c r="R14" s="146"/>
      <c r="S14" s="146"/>
      <c r="T14" s="146"/>
      <c r="U14" s="146"/>
      <c r="V14" s="146"/>
      <c r="W14" s="146"/>
      <c r="X14" s="146"/>
      <c r="Y14" s="146"/>
      <c r="Z14" s="146"/>
    </row>
    <row r="15" ht="23.25" customHeight="1">
      <c r="A15" s="147"/>
      <c r="B15" s="148" t="s">
        <v>170</v>
      </c>
      <c r="C15" s="149"/>
      <c r="D15" s="149"/>
      <c r="E15" s="149"/>
      <c r="F15" s="149"/>
      <c r="G15" s="150"/>
      <c r="H15" s="151"/>
      <c r="I15" s="152" t="s">
        <v>171</v>
      </c>
      <c r="J15" s="149"/>
      <c r="K15" s="149"/>
      <c r="L15" s="149"/>
      <c r="M15" s="149"/>
      <c r="N15" s="150"/>
      <c r="O15" s="153"/>
      <c r="P15" s="153"/>
      <c r="Q15" s="153"/>
      <c r="R15" s="153"/>
      <c r="S15" s="153"/>
      <c r="T15" s="153"/>
      <c r="U15" s="153"/>
      <c r="V15" s="153"/>
      <c r="W15" s="153"/>
      <c r="X15" s="153"/>
      <c r="Y15" s="153"/>
      <c r="Z15" s="153"/>
    </row>
    <row r="16">
      <c r="A16" s="28"/>
      <c r="B16" s="154" t="s">
        <v>172</v>
      </c>
      <c r="C16" s="154" t="s">
        <v>173</v>
      </c>
      <c r="D16" s="154" t="s">
        <v>174</v>
      </c>
      <c r="E16" s="154" t="s">
        <v>175</v>
      </c>
      <c r="F16" s="155" t="s">
        <v>371</v>
      </c>
      <c r="G16" s="150"/>
      <c r="H16" s="156"/>
      <c r="I16" s="157" t="s">
        <v>172</v>
      </c>
      <c r="J16" s="157" t="s">
        <v>173</v>
      </c>
      <c r="K16" s="157" t="s">
        <v>174</v>
      </c>
      <c r="L16" s="157" t="s">
        <v>175</v>
      </c>
      <c r="M16" s="158" t="s">
        <v>371</v>
      </c>
      <c r="N16" s="150"/>
    </row>
    <row r="17">
      <c r="A17" s="28"/>
      <c r="B17" s="159" t="s">
        <v>176</v>
      </c>
      <c r="C17" s="160" t="s">
        <v>509</v>
      </c>
      <c r="D17" s="160" t="s">
        <v>510</v>
      </c>
      <c r="E17" s="161">
        <v>228.0</v>
      </c>
      <c r="F17" s="354"/>
      <c r="G17" s="163"/>
      <c r="H17" s="164"/>
      <c r="I17" s="159" t="s">
        <v>176</v>
      </c>
      <c r="J17" s="160" t="s">
        <v>461</v>
      </c>
      <c r="K17" s="160" t="s">
        <v>511</v>
      </c>
      <c r="L17" s="161" t="s">
        <v>512</v>
      </c>
      <c r="M17" s="354"/>
      <c r="N17" s="163"/>
    </row>
    <row r="18">
      <c r="A18" s="28"/>
      <c r="B18" s="166" t="s">
        <v>183</v>
      </c>
      <c r="C18" s="167" t="s">
        <v>513</v>
      </c>
      <c r="D18" s="167" t="s">
        <v>514</v>
      </c>
      <c r="E18" s="168">
        <v>503.2</v>
      </c>
      <c r="F18" s="172"/>
      <c r="G18" s="170"/>
      <c r="H18" s="164"/>
      <c r="I18" s="166" t="s">
        <v>183</v>
      </c>
      <c r="J18" s="167" t="s">
        <v>515</v>
      </c>
      <c r="K18" s="167" t="s">
        <v>516</v>
      </c>
      <c r="L18" s="168" t="s">
        <v>517</v>
      </c>
      <c r="M18" s="172"/>
      <c r="N18" s="170"/>
    </row>
    <row r="19">
      <c r="A19" s="28"/>
      <c r="B19" s="173" t="s">
        <v>190</v>
      </c>
      <c r="C19" s="167" t="s">
        <v>518</v>
      </c>
      <c r="D19" s="167" t="s">
        <v>213</v>
      </c>
      <c r="E19" s="168">
        <v>48.0</v>
      </c>
      <c r="F19" s="172"/>
      <c r="G19" s="170"/>
      <c r="H19" s="164"/>
      <c r="I19" s="173" t="s">
        <v>190</v>
      </c>
      <c r="J19" s="167" t="s">
        <v>382</v>
      </c>
      <c r="K19" s="167" t="s">
        <v>519</v>
      </c>
      <c r="L19" s="168" t="s">
        <v>520</v>
      </c>
      <c r="M19" s="172"/>
      <c r="N19" s="170"/>
    </row>
    <row r="20">
      <c r="A20" s="28"/>
      <c r="B20" s="174"/>
      <c r="C20" s="175"/>
      <c r="D20" s="175"/>
      <c r="E20" s="175"/>
      <c r="F20" s="176"/>
      <c r="G20" s="176"/>
      <c r="H20" s="164"/>
      <c r="I20" s="174"/>
      <c r="J20" s="175"/>
      <c r="K20" s="175"/>
      <c r="L20" s="175"/>
      <c r="M20" s="176"/>
      <c r="N20" s="176"/>
    </row>
    <row r="21">
      <c r="A21" s="28"/>
      <c r="B21" s="177" t="s">
        <v>196</v>
      </c>
      <c r="C21" s="167" t="s">
        <v>469</v>
      </c>
      <c r="D21" s="167" t="s">
        <v>521</v>
      </c>
      <c r="E21" s="168">
        <v>423.9</v>
      </c>
      <c r="F21" s="169" t="s">
        <v>522</v>
      </c>
      <c r="G21" s="170"/>
      <c r="H21" s="164"/>
      <c r="I21" s="177" t="s">
        <v>196</v>
      </c>
      <c r="J21" s="167" t="s">
        <v>217</v>
      </c>
      <c r="K21" s="167" t="s">
        <v>523</v>
      </c>
      <c r="L21" s="168" t="s">
        <v>524</v>
      </c>
      <c r="M21" s="169" t="s">
        <v>525</v>
      </c>
      <c r="N21" s="170"/>
    </row>
    <row r="22">
      <c r="A22" s="28"/>
      <c r="B22" s="178" t="s">
        <v>203</v>
      </c>
      <c r="C22" s="167" t="s">
        <v>526</v>
      </c>
      <c r="D22" s="167" t="s">
        <v>527</v>
      </c>
      <c r="E22" s="168">
        <v>536.6</v>
      </c>
      <c r="F22" s="169" t="s">
        <v>528</v>
      </c>
      <c r="G22" s="170"/>
      <c r="H22" s="164"/>
      <c r="I22" s="178" t="s">
        <v>203</v>
      </c>
      <c r="J22" s="167" t="s">
        <v>529</v>
      </c>
      <c r="K22" s="167" t="s">
        <v>530</v>
      </c>
      <c r="L22" s="168" t="s">
        <v>531</v>
      </c>
      <c r="M22" s="172"/>
      <c r="N22" s="170"/>
    </row>
    <row r="23">
      <c r="A23" s="28"/>
      <c r="B23" s="177" t="s">
        <v>211</v>
      </c>
      <c r="C23" s="167" t="s">
        <v>212</v>
      </c>
      <c r="D23" s="167" t="s">
        <v>532</v>
      </c>
      <c r="E23" s="168">
        <v>110.2</v>
      </c>
      <c r="F23" s="172"/>
      <c r="G23" s="170"/>
      <c r="H23" s="164"/>
      <c r="I23" s="177" t="s">
        <v>211</v>
      </c>
      <c r="J23" s="167" t="s">
        <v>533</v>
      </c>
      <c r="K23" s="167" t="s">
        <v>534</v>
      </c>
      <c r="L23" s="168" t="s">
        <v>535</v>
      </c>
      <c r="M23" s="169" t="s">
        <v>536</v>
      </c>
      <c r="N23" s="170"/>
    </row>
    <row r="24">
      <c r="A24" s="28"/>
      <c r="B24" s="174"/>
      <c r="C24" s="175"/>
      <c r="D24" s="175"/>
      <c r="E24" s="175"/>
      <c r="F24" s="176"/>
      <c r="G24" s="176"/>
      <c r="H24" s="164"/>
      <c r="I24" s="174"/>
      <c r="J24" s="175"/>
      <c r="K24" s="175"/>
      <c r="L24" s="175"/>
      <c r="M24" s="176"/>
      <c r="N24" s="176"/>
    </row>
    <row r="25">
      <c r="A25" s="28"/>
      <c r="B25" s="179" t="s">
        <v>216</v>
      </c>
      <c r="C25" s="167" t="s">
        <v>537</v>
      </c>
      <c r="D25" s="167" t="s">
        <v>178</v>
      </c>
      <c r="E25" s="168">
        <v>366.0</v>
      </c>
      <c r="F25" s="172"/>
      <c r="G25" s="170"/>
      <c r="H25" s="164"/>
      <c r="I25" s="179" t="s">
        <v>216</v>
      </c>
      <c r="J25" s="167" t="s">
        <v>538</v>
      </c>
      <c r="K25" s="167" t="s">
        <v>396</v>
      </c>
      <c r="L25" s="168" t="s">
        <v>539</v>
      </c>
      <c r="M25" s="169" t="s">
        <v>522</v>
      </c>
      <c r="N25" s="170"/>
    </row>
    <row r="26">
      <c r="A26" s="28"/>
      <c r="B26" s="180" t="s">
        <v>223</v>
      </c>
      <c r="C26" s="167" t="s">
        <v>540</v>
      </c>
      <c r="D26" s="167" t="s">
        <v>541</v>
      </c>
      <c r="E26" s="168">
        <v>146.4</v>
      </c>
      <c r="F26" s="169" t="s">
        <v>542</v>
      </c>
      <c r="G26" s="170"/>
      <c r="H26" s="164"/>
      <c r="I26" s="180" t="s">
        <v>223</v>
      </c>
      <c r="J26" s="167" t="s">
        <v>543</v>
      </c>
      <c r="K26" s="167" t="s">
        <v>544</v>
      </c>
      <c r="L26" s="168" t="s">
        <v>545</v>
      </c>
      <c r="M26" s="172"/>
      <c r="N26" s="170"/>
    </row>
    <row r="27">
      <c r="A27" s="28"/>
      <c r="B27" s="179" t="s">
        <v>229</v>
      </c>
      <c r="C27" s="167" t="s">
        <v>546</v>
      </c>
      <c r="D27" s="167" t="s">
        <v>547</v>
      </c>
      <c r="E27" s="168">
        <v>303.1</v>
      </c>
      <c r="F27" s="169"/>
      <c r="G27" s="170"/>
      <c r="H27" s="164"/>
      <c r="I27" s="179" t="s">
        <v>229</v>
      </c>
      <c r="J27" s="167" t="s">
        <v>193</v>
      </c>
      <c r="K27" s="167" t="s">
        <v>548</v>
      </c>
      <c r="L27" s="168">
        <v>148.0</v>
      </c>
      <c r="M27" s="172"/>
      <c r="N27" s="170"/>
    </row>
    <row r="28">
      <c r="A28" s="28"/>
      <c r="B28" s="174"/>
      <c r="C28" s="175"/>
      <c r="D28" s="175"/>
      <c r="E28" s="175"/>
      <c r="F28" s="176"/>
      <c r="G28" s="176"/>
      <c r="H28" s="164"/>
      <c r="I28" s="174"/>
      <c r="J28" s="175"/>
      <c r="K28" s="175"/>
      <c r="L28" s="175"/>
      <c r="M28" s="176"/>
      <c r="N28" s="176"/>
    </row>
    <row r="29">
      <c r="A29" s="28"/>
      <c r="B29" s="181" t="s">
        <v>234</v>
      </c>
      <c r="C29" s="167" t="s">
        <v>549</v>
      </c>
      <c r="D29" s="167" t="s">
        <v>541</v>
      </c>
      <c r="E29" s="168">
        <v>256.2</v>
      </c>
      <c r="F29" s="169" t="s">
        <v>550</v>
      </c>
      <c r="G29" s="170"/>
      <c r="H29" s="164"/>
      <c r="I29" s="181" t="s">
        <v>234</v>
      </c>
      <c r="J29" s="167" t="s">
        <v>551</v>
      </c>
      <c r="K29" s="167" t="s">
        <v>552</v>
      </c>
      <c r="L29" s="168" t="s">
        <v>553</v>
      </c>
      <c r="M29" s="172"/>
      <c r="N29" s="170"/>
    </row>
    <row r="30">
      <c r="A30" s="28"/>
      <c r="F30" s="28"/>
      <c r="G30" s="28"/>
    </row>
    <row r="31" ht="24.75" customHeight="1">
      <c r="A31" s="142"/>
      <c r="B31" s="182" t="s">
        <v>241</v>
      </c>
      <c r="C31" s="183"/>
      <c r="D31" s="183"/>
      <c r="E31" s="183"/>
      <c r="F31" s="183"/>
      <c r="G31" s="183"/>
      <c r="H31" s="183"/>
      <c r="I31" s="183"/>
      <c r="J31" s="183"/>
      <c r="K31" s="183"/>
      <c r="L31" s="183"/>
      <c r="M31" s="183"/>
      <c r="N31" s="184"/>
      <c r="O31" s="146"/>
      <c r="P31" s="146"/>
      <c r="Q31" s="146"/>
      <c r="R31" s="146"/>
      <c r="S31" s="146"/>
      <c r="T31" s="146"/>
      <c r="U31" s="146"/>
      <c r="V31" s="146"/>
      <c r="W31" s="146"/>
      <c r="X31" s="146"/>
      <c r="Y31" s="146"/>
      <c r="Z31" s="146"/>
    </row>
    <row r="32" ht="23.25" customHeight="1">
      <c r="A32" s="147"/>
      <c r="B32" s="237" t="s">
        <v>408</v>
      </c>
      <c r="C32" s="235"/>
      <c r="D32" s="235"/>
      <c r="E32" s="235"/>
      <c r="F32" s="235"/>
      <c r="G32" s="236"/>
      <c r="H32" s="185"/>
      <c r="I32" s="152" t="s">
        <v>242</v>
      </c>
      <c r="J32" s="149"/>
      <c r="K32" s="149"/>
      <c r="L32" s="149"/>
      <c r="M32" s="149"/>
      <c r="N32" s="150"/>
      <c r="O32" s="153"/>
      <c r="P32" s="153"/>
      <c r="Q32" s="153"/>
      <c r="R32" s="153"/>
      <c r="S32" s="153"/>
      <c r="T32" s="153"/>
      <c r="U32" s="153"/>
      <c r="V32" s="153"/>
      <c r="W32" s="153"/>
      <c r="X32" s="153"/>
      <c r="Y32" s="153"/>
      <c r="Z32" s="153"/>
    </row>
    <row r="33">
      <c r="A33" s="28"/>
      <c r="B33" s="186" t="s">
        <v>172</v>
      </c>
      <c r="C33" s="186" t="s">
        <v>175</v>
      </c>
      <c r="D33" s="186" t="s">
        <v>243</v>
      </c>
      <c r="E33" s="187" t="s">
        <v>244</v>
      </c>
      <c r="F33" s="188" t="s">
        <v>245</v>
      </c>
      <c r="G33" s="235"/>
      <c r="H33" s="190"/>
      <c r="I33" s="157" t="s">
        <v>172</v>
      </c>
      <c r="J33" s="157" t="s">
        <v>175</v>
      </c>
      <c r="K33" s="157" t="s">
        <v>243</v>
      </c>
      <c r="L33" s="157" t="s">
        <v>244</v>
      </c>
      <c r="M33" s="401" t="s">
        <v>244</v>
      </c>
      <c r="N33" s="150"/>
    </row>
    <row r="34">
      <c r="A34" s="28"/>
      <c r="B34" s="193" t="s">
        <v>246</v>
      </c>
      <c r="C34" s="194" t="s">
        <v>554</v>
      </c>
      <c r="D34" s="366" t="s">
        <v>410</v>
      </c>
      <c r="E34" s="367" t="s">
        <v>248</v>
      </c>
      <c r="F34" s="197">
        <v>0.255</v>
      </c>
      <c r="G34" s="198"/>
      <c r="H34" s="164"/>
      <c r="I34" s="199" t="s">
        <v>246</v>
      </c>
      <c r="J34" s="200">
        <v>687.8</v>
      </c>
      <c r="K34" s="402" t="s">
        <v>410</v>
      </c>
      <c r="L34" s="202" t="s">
        <v>248</v>
      </c>
      <c r="M34" s="203">
        <f t="shared" ref="M34:M37" si="1">J34/sum($J$34:$J$37)</f>
        <v>0.2420893316</v>
      </c>
      <c r="N34" s="198"/>
    </row>
    <row r="35">
      <c r="A35" s="28"/>
      <c r="B35" s="204" t="s">
        <v>249</v>
      </c>
      <c r="C35" s="205" t="s">
        <v>555</v>
      </c>
      <c r="D35" s="369" t="s">
        <v>412</v>
      </c>
      <c r="E35" s="212" t="s">
        <v>248</v>
      </c>
      <c r="F35" s="208">
        <v>0.35</v>
      </c>
      <c r="G35" s="209"/>
      <c r="H35" s="164"/>
      <c r="I35" s="204" t="s">
        <v>249</v>
      </c>
      <c r="J35" s="210">
        <v>966.3</v>
      </c>
      <c r="K35" s="369" t="s">
        <v>412</v>
      </c>
      <c r="L35" s="212" t="s">
        <v>248</v>
      </c>
      <c r="M35" s="213">
        <f t="shared" si="1"/>
        <v>0.3401147443</v>
      </c>
      <c r="N35" s="209"/>
    </row>
    <row r="36">
      <c r="A36" s="28"/>
      <c r="B36" s="214" t="s">
        <v>251</v>
      </c>
      <c r="C36" s="215" t="s">
        <v>556</v>
      </c>
      <c r="D36" s="370" t="s">
        <v>414</v>
      </c>
      <c r="E36" s="222" t="s">
        <v>248</v>
      </c>
      <c r="F36" s="218">
        <v>0.267</v>
      </c>
      <c r="G36" s="219"/>
      <c r="H36" s="164"/>
      <c r="I36" s="214" t="s">
        <v>251</v>
      </c>
      <c r="J36" s="220">
        <v>764.3</v>
      </c>
      <c r="K36" s="370" t="s">
        <v>414</v>
      </c>
      <c r="L36" s="222" t="s">
        <v>248</v>
      </c>
      <c r="M36" s="223">
        <f t="shared" si="1"/>
        <v>0.2690155222</v>
      </c>
      <c r="N36" s="219"/>
    </row>
    <row r="37">
      <c r="A37" s="28"/>
      <c r="B37" s="224" t="s">
        <v>253</v>
      </c>
      <c r="C37" s="225" t="s">
        <v>557</v>
      </c>
      <c r="D37" s="371" t="s">
        <v>416</v>
      </c>
      <c r="E37" s="232" t="s">
        <v>248</v>
      </c>
      <c r="F37" s="228">
        <v>0.084</v>
      </c>
      <c r="G37" s="229"/>
      <c r="H37" s="164"/>
      <c r="I37" s="224" t="s">
        <v>253</v>
      </c>
      <c r="J37" s="230">
        <v>422.7</v>
      </c>
      <c r="K37" s="371" t="s">
        <v>416</v>
      </c>
      <c r="L37" s="232" t="s">
        <v>248</v>
      </c>
      <c r="M37" s="233">
        <f t="shared" si="1"/>
        <v>0.148780402</v>
      </c>
      <c r="N37" s="229"/>
    </row>
    <row r="38">
      <c r="A38" s="28"/>
      <c r="B38" s="28"/>
      <c r="C38" s="28"/>
      <c r="D38" s="28"/>
      <c r="E38" s="28"/>
      <c r="F38" s="28"/>
      <c r="G38" s="28"/>
    </row>
    <row r="39" ht="24.75" customHeight="1">
      <c r="A39" s="142"/>
      <c r="B39" s="234" t="s">
        <v>255</v>
      </c>
      <c r="C39" s="235"/>
      <c r="D39" s="235"/>
      <c r="E39" s="235"/>
      <c r="F39" s="235"/>
      <c r="G39" s="235"/>
      <c r="H39" s="235"/>
      <c r="I39" s="235"/>
      <c r="J39" s="235"/>
      <c r="K39" s="235"/>
      <c r="L39" s="235"/>
      <c r="M39" s="235"/>
      <c r="N39" s="236"/>
      <c r="O39" s="146"/>
      <c r="P39" s="146"/>
      <c r="Q39" s="146"/>
      <c r="R39" s="146"/>
      <c r="S39" s="146"/>
      <c r="T39" s="146"/>
      <c r="U39" s="146"/>
      <c r="V39" s="146"/>
      <c r="W39" s="146"/>
      <c r="X39" s="146"/>
      <c r="Y39" s="146"/>
      <c r="Z39" s="146"/>
    </row>
    <row r="40" ht="23.25" customHeight="1">
      <c r="A40" s="147"/>
      <c r="B40" s="237" t="s">
        <v>256</v>
      </c>
      <c r="C40" s="235"/>
      <c r="D40" s="235"/>
      <c r="E40" s="235"/>
      <c r="F40" s="235"/>
      <c r="G40" s="236"/>
      <c r="H40" s="185"/>
      <c r="I40" s="152" t="s">
        <v>257</v>
      </c>
      <c r="J40" s="149"/>
      <c r="K40" s="149"/>
      <c r="L40" s="149"/>
      <c r="M40" s="149"/>
      <c r="N40" s="150"/>
      <c r="O40" s="153"/>
      <c r="P40" s="153"/>
      <c r="Q40" s="153"/>
      <c r="R40" s="153"/>
      <c r="S40" s="153"/>
      <c r="T40" s="153"/>
      <c r="U40" s="153"/>
      <c r="V40" s="153"/>
      <c r="W40" s="153"/>
      <c r="X40" s="153"/>
      <c r="Y40" s="153"/>
      <c r="Z40" s="153"/>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385"/>
      <c r="B42" s="377" t="s">
        <v>262</v>
      </c>
      <c r="C42" s="243" t="s">
        <v>504</v>
      </c>
      <c r="D42" s="243">
        <v>2921.6</v>
      </c>
      <c r="E42" s="246">
        <v>1.0</v>
      </c>
      <c r="F42" s="386"/>
      <c r="G42" s="235"/>
      <c r="H42" s="387"/>
      <c r="I42" s="377" t="s">
        <v>262</v>
      </c>
      <c r="J42" s="243" t="s">
        <v>504</v>
      </c>
      <c r="K42" s="243">
        <v>2841.1</v>
      </c>
      <c r="L42" s="403">
        <v>0.978</v>
      </c>
      <c r="M42" s="386"/>
      <c r="N42" s="235"/>
      <c r="O42" s="388"/>
      <c r="P42" s="388"/>
      <c r="Q42" s="388"/>
      <c r="R42" s="388"/>
      <c r="S42" s="388"/>
      <c r="T42" s="388"/>
      <c r="U42" s="388"/>
      <c r="V42" s="388"/>
      <c r="W42" s="388"/>
      <c r="X42" s="388"/>
      <c r="Y42" s="388"/>
      <c r="Z42" s="388"/>
    </row>
    <row r="43">
      <c r="A43" s="385"/>
      <c r="B43" s="377" t="s">
        <v>158</v>
      </c>
      <c r="C43" s="243" t="s">
        <v>505</v>
      </c>
      <c r="D43" s="243">
        <v>162.73</v>
      </c>
      <c r="E43" s="246">
        <v>1.0</v>
      </c>
      <c r="F43" s="386"/>
      <c r="G43" s="235"/>
      <c r="H43" s="387"/>
      <c r="I43" s="377" t="s">
        <v>158</v>
      </c>
      <c r="J43" s="243" t="s">
        <v>505</v>
      </c>
      <c r="K43" s="243">
        <v>97.3</v>
      </c>
      <c r="L43" s="404">
        <v>0.848</v>
      </c>
      <c r="M43" s="386"/>
      <c r="N43" s="235"/>
      <c r="O43" s="388"/>
      <c r="P43" s="388"/>
      <c r="Q43" s="388"/>
      <c r="R43" s="388"/>
      <c r="S43" s="388"/>
      <c r="T43" s="388"/>
      <c r="U43" s="388"/>
      <c r="V43" s="388"/>
      <c r="W43" s="388"/>
      <c r="X43" s="388"/>
      <c r="Y43" s="388"/>
      <c r="Z43" s="388"/>
    </row>
    <row r="44">
      <c r="A44" s="385"/>
      <c r="B44" s="377" t="s">
        <v>263</v>
      </c>
      <c r="C44" s="243" t="s">
        <v>506</v>
      </c>
      <c r="D44" s="243">
        <v>104.51</v>
      </c>
      <c r="E44" s="246">
        <v>1.0</v>
      </c>
      <c r="F44" s="386"/>
      <c r="G44" s="235"/>
      <c r="H44" s="387"/>
      <c r="I44" s="377" t="s">
        <v>263</v>
      </c>
      <c r="J44" s="243" t="s">
        <v>506</v>
      </c>
      <c r="K44" s="243">
        <v>106.7</v>
      </c>
      <c r="L44" s="403">
        <v>1.0</v>
      </c>
      <c r="M44" s="386"/>
      <c r="N44" s="235"/>
      <c r="O44" s="388"/>
      <c r="P44" s="388"/>
      <c r="Q44" s="388"/>
      <c r="R44" s="388"/>
      <c r="S44" s="388"/>
      <c r="T44" s="388"/>
      <c r="U44" s="388"/>
      <c r="V44" s="388"/>
      <c r="W44" s="388"/>
      <c r="X44" s="388"/>
      <c r="Y44" s="388"/>
      <c r="Z44" s="388"/>
    </row>
    <row r="45">
      <c r="A45" s="385"/>
      <c r="B45" s="377" t="s">
        <v>264</v>
      </c>
      <c r="C45" s="243" t="s">
        <v>508</v>
      </c>
      <c r="D45" s="243">
        <v>340.6</v>
      </c>
      <c r="E45" s="246">
        <v>1.0</v>
      </c>
      <c r="F45" s="386"/>
      <c r="G45" s="235"/>
      <c r="H45" s="387"/>
      <c r="I45" s="377" t="s">
        <v>264</v>
      </c>
      <c r="J45" s="243" t="s">
        <v>508</v>
      </c>
      <c r="K45" s="243">
        <v>408.5</v>
      </c>
      <c r="L45" s="404">
        <v>1.0</v>
      </c>
      <c r="M45" s="386"/>
      <c r="N45" s="235"/>
      <c r="O45" s="388"/>
      <c r="P45" s="388"/>
      <c r="Q45" s="388"/>
      <c r="R45" s="388"/>
      <c r="S45" s="388"/>
      <c r="T45" s="388"/>
      <c r="U45" s="388"/>
      <c r="V45" s="388"/>
      <c r="W45" s="388"/>
      <c r="X45" s="388"/>
      <c r="Y45" s="388"/>
      <c r="Z45" s="388"/>
    </row>
    <row r="46">
      <c r="A46" s="385"/>
      <c r="B46" s="377" t="s">
        <v>265</v>
      </c>
      <c r="C46" s="243" t="s">
        <v>417</v>
      </c>
      <c r="D46" s="243">
        <v>1989.79</v>
      </c>
      <c r="E46" s="246">
        <v>1.0</v>
      </c>
      <c r="F46" s="386"/>
      <c r="G46" s="235"/>
      <c r="H46" s="387"/>
      <c r="I46" s="377" t="s">
        <v>265</v>
      </c>
      <c r="J46" s="243" t="s">
        <v>417</v>
      </c>
      <c r="K46" s="243">
        <v>1590.8</v>
      </c>
      <c r="L46" s="403">
        <v>1.0</v>
      </c>
      <c r="M46" s="386"/>
      <c r="N46" s="235"/>
      <c r="O46" s="388"/>
      <c r="P46" s="388"/>
      <c r="Q46" s="388"/>
      <c r="R46" s="388"/>
      <c r="S46" s="388"/>
      <c r="T46" s="388"/>
      <c r="U46" s="388"/>
      <c r="V46" s="388"/>
      <c r="W46" s="388"/>
      <c r="X46" s="388"/>
      <c r="Y46" s="388"/>
      <c r="Z46" s="388"/>
    </row>
    <row r="47">
      <c r="A47" s="385"/>
      <c r="B47" s="377" t="s">
        <v>267</v>
      </c>
      <c r="C47" s="243" t="s">
        <v>558</v>
      </c>
      <c r="D47" s="243">
        <v>56.33</v>
      </c>
      <c r="E47" s="246">
        <v>1.0</v>
      </c>
      <c r="F47" s="386"/>
      <c r="G47" s="235"/>
      <c r="H47" s="387"/>
      <c r="I47" s="377" t="s">
        <v>267</v>
      </c>
      <c r="J47" s="243" t="s">
        <v>558</v>
      </c>
      <c r="K47" s="243">
        <v>43.5</v>
      </c>
      <c r="L47" s="404">
        <f>K47/38.2</f>
        <v>1.138743455</v>
      </c>
      <c r="M47" s="386"/>
      <c r="N47" s="235"/>
      <c r="O47" s="388"/>
      <c r="P47" s="388"/>
      <c r="Q47" s="388"/>
      <c r="R47" s="388"/>
      <c r="S47" s="388"/>
      <c r="T47" s="388"/>
      <c r="U47" s="388"/>
      <c r="V47" s="388"/>
      <c r="W47" s="388"/>
      <c r="X47" s="388"/>
      <c r="Y47" s="388"/>
      <c r="Z47" s="388"/>
    </row>
    <row r="48">
      <c r="A48" s="385"/>
      <c r="B48" s="377" t="s">
        <v>269</v>
      </c>
      <c r="C48" s="243" t="s">
        <v>270</v>
      </c>
      <c r="D48" s="243">
        <v>242.8</v>
      </c>
      <c r="E48" s="246">
        <v>1.0</v>
      </c>
      <c r="F48" s="386"/>
      <c r="G48" s="235"/>
      <c r="H48" s="387"/>
      <c r="I48" s="377" t="s">
        <v>269</v>
      </c>
      <c r="J48" s="243" t="s">
        <v>270</v>
      </c>
      <c r="K48" s="243">
        <v>23.9</v>
      </c>
      <c r="L48" s="403">
        <v>1.0</v>
      </c>
      <c r="M48" s="386"/>
      <c r="N48" s="235"/>
      <c r="O48" s="388"/>
      <c r="P48" s="388"/>
      <c r="Q48" s="388"/>
      <c r="R48" s="388"/>
      <c r="S48" s="388"/>
      <c r="T48" s="388"/>
      <c r="U48" s="388"/>
      <c r="V48" s="388"/>
      <c r="W48" s="388"/>
      <c r="X48" s="388"/>
      <c r="Y48" s="388"/>
      <c r="Z48" s="388"/>
    </row>
    <row r="49">
      <c r="A49" s="385"/>
      <c r="B49" s="377" t="s">
        <v>559</v>
      </c>
      <c r="C49" s="243" t="s">
        <v>560</v>
      </c>
      <c r="D49" s="243">
        <v>0.1</v>
      </c>
      <c r="E49" s="246">
        <v>1.0</v>
      </c>
      <c r="F49" s="386"/>
      <c r="G49" s="235"/>
      <c r="H49" s="389"/>
      <c r="I49" s="377" t="s">
        <v>559</v>
      </c>
      <c r="J49" s="243" t="s">
        <v>560</v>
      </c>
      <c r="K49" s="243">
        <v>0.2</v>
      </c>
      <c r="L49" s="403">
        <v>1.0</v>
      </c>
      <c r="M49" s="386"/>
      <c r="N49" s="235"/>
      <c r="O49" s="388"/>
      <c r="P49" s="388"/>
      <c r="Q49" s="388"/>
      <c r="R49" s="388"/>
      <c r="S49" s="388"/>
      <c r="T49" s="388"/>
      <c r="U49" s="388"/>
      <c r="V49" s="388"/>
      <c r="W49" s="388"/>
      <c r="X49" s="388"/>
      <c r="Y49" s="388"/>
      <c r="Z49" s="388"/>
    </row>
    <row r="50">
      <c r="A50" s="385"/>
      <c r="B50" s="28"/>
      <c r="C50" s="28"/>
      <c r="D50" s="28"/>
      <c r="E50" s="28"/>
      <c r="F50" s="28"/>
      <c r="G50" s="28"/>
      <c r="O50" s="388"/>
      <c r="P50" s="388"/>
      <c r="Q50" s="388"/>
      <c r="R50" s="388"/>
      <c r="S50" s="388"/>
      <c r="T50" s="388"/>
      <c r="U50" s="388"/>
      <c r="V50" s="388"/>
      <c r="W50" s="388"/>
      <c r="X50" s="388"/>
      <c r="Y50" s="388"/>
      <c r="Z50" s="388"/>
    </row>
    <row r="51">
      <c r="A51" s="28"/>
      <c r="B51" s="234" t="s">
        <v>273</v>
      </c>
      <c r="C51" s="235"/>
      <c r="D51" s="235"/>
      <c r="E51" s="235"/>
      <c r="F51" s="235"/>
      <c r="G51" s="235"/>
      <c r="H51" s="235"/>
      <c r="I51" s="235"/>
      <c r="J51" s="235"/>
      <c r="K51" s="235"/>
      <c r="L51" s="235"/>
      <c r="M51" s="235"/>
      <c r="N51" s="236"/>
    </row>
    <row r="52" ht="24.75" customHeight="1">
      <c r="A52" s="142"/>
      <c r="B52" s="237" t="s">
        <v>274</v>
      </c>
      <c r="C52" s="235"/>
      <c r="D52" s="235"/>
      <c r="E52" s="235"/>
      <c r="F52" s="235"/>
      <c r="G52" s="236"/>
      <c r="H52" s="405"/>
      <c r="I52" s="406" t="s">
        <v>275</v>
      </c>
      <c r="J52" s="330"/>
      <c r="K52" s="330"/>
      <c r="L52" s="330"/>
      <c r="M52" s="330"/>
      <c r="N52" s="331"/>
      <c r="O52" s="146"/>
      <c r="P52" s="146"/>
      <c r="Q52" s="146"/>
      <c r="R52" s="146"/>
      <c r="S52" s="146"/>
      <c r="T52" s="146"/>
      <c r="U52" s="146"/>
      <c r="V52" s="146"/>
      <c r="W52" s="146"/>
      <c r="X52" s="146"/>
      <c r="Y52" s="146"/>
      <c r="Z52" s="146"/>
    </row>
    <row r="53" ht="23.25" customHeight="1">
      <c r="A53" s="147"/>
      <c r="B53" s="238" t="s">
        <v>258</v>
      </c>
      <c r="C53" s="238" t="s">
        <v>276</v>
      </c>
      <c r="D53" s="238" t="s">
        <v>260</v>
      </c>
      <c r="E53" s="376" t="s">
        <v>261</v>
      </c>
      <c r="F53" s="251" t="s">
        <v>244</v>
      </c>
      <c r="G53" s="252"/>
      <c r="H53" s="190"/>
      <c r="I53" s="239" t="s">
        <v>258</v>
      </c>
      <c r="J53" s="239" t="s">
        <v>276</v>
      </c>
      <c r="K53" s="239" t="s">
        <v>260</v>
      </c>
      <c r="L53" s="240" t="s">
        <v>261</v>
      </c>
      <c r="M53" s="241"/>
      <c r="N53" s="150"/>
      <c r="O53" s="153"/>
      <c r="P53" s="153"/>
      <c r="Q53" s="153"/>
      <c r="R53" s="153"/>
      <c r="S53" s="153"/>
      <c r="T53" s="153"/>
      <c r="U53" s="153"/>
      <c r="V53" s="153"/>
      <c r="W53" s="153"/>
      <c r="X53" s="153"/>
      <c r="Y53" s="153"/>
      <c r="Z53" s="153"/>
    </row>
    <row r="54">
      <c r="A54" s="28"/>
      <c r="B54" s="377" t="s">
        <v>277</v>
      </c>
      <c r="C54" s="243" t="s">
        <v>278</v>
      </c>
      <c r="D54" s="243">
        <v>1.85</v>
      </c>
      <c r="E54" s="246">
        <v>1.0</v>
      </c>
      <c r="F54" s="391"/>
      <c r="G54" s="256"/>
      <c r="H54" s="387"/>
      <c r="I54" s="377" t="s">
        <v>277</v>
      </c>
      <c r="J54" s="243" t="s">
        <v>278</v>
      </c>
      <c r="K54" s="243">
        <v>0.079</v>
      </c>
      <c r="L54" s="246">
        <v>0.088</v>
      </c>
      <c r="M54" s="391"/>
      <c r="N54" s="256"/>
    </row>
    <row r="55">
      <c r="A55" s="385"/>
      <c r="O55" s="388"/>
      <c r="P55" s="388"/>
      <c r="Q55" s="388"/>
      <c r="R55" s="388"/>
      <c r="S55" s="388"/>
      <c r="T55" s="388"/>
      <c r="U55" s="388"/>
      <c r="V55" s="388"/>
      <c r="W55" s="388"/>
      <c r="X55" s="388"/>
      <c r="Y55" s="388"/>
      <c r="Z55" s="388"/>
    </row>
    <row r="56">
      <c r="A56" s="385"/>
      <c r="B56" s="377" t="s">
        <v>280</v>
      </c>
      <c r="C56" s="243" t="s">
        <v>281</v>
      </c>
      <c r="D56" s="243">
        <v>116.9</v>
      </c>
      <c r="E56" s="246">
        <v>1.0</v>
      </c>
      <c r="F56" s="386"/>
      <c r="G56" s="235"/>
      <c r="H56" s="387"/>
      <c r="I56" s="377" t="s">
        <v>280</v>
      </c>
      <c r="J56" s="243" t="s">
        <v>281</v>
      </c>
      <c r="K56" s="243">
        <v>14.1</v>
      </c>
      <c r="L56" s="246">
        <v>0.157</v>
      </c>
      <c r="M56" s="386"/>
      <c r="N56" s="235"/>
      <c r="O56" s="388"/>
      <c r="P56" s="388"/>
      <c r="Q56" s="388"/>
      <c r="R56" s="388"/>
      <c r="S56" s="388"/>
      <c r="T56" s="388"/>
      <c r="U56" s="388"/>
      <c r="V56" s="388"/>
      <c r="W56" s="388"/>
      <c r="X56" s="388"/>
      <c r="Y56" s="388"/>
      <c r="Z56" s="388"/>
    </row>
    <row r="57">
      <c r="A57" s="385"/>
      <c r="B57" s="377" t="s">
        <v>282</v>
      </c>
      <c r="C57" s="243" t="s">
        <v>283</v>
      </c>
      <c r="D57" s="243">
        <v>0.0</v>
      </c>
      <c r="E57" s="246">
        <v>0.0</v>
      </c>
      <c r="F57" s="386"/>
      <c r="G57" s="235"/>
      <c r="H57" s="387"/>
      <c r="I57" s="377" t="s">
        <v>282</v>
      </c>
      <c r="J57" s="243" t="s">
        <v>283</v>
      </c>
      <c r="K57" s="243">
        <v>0.0</v>
      </c>
      <c r="L57" s="246">
        <v>0.0</v>
      </c>
      <c r="M57" s="386"/>
      <c r="N57" s="235"/>
      <c r="O57" s="388"/>
      <c r="P57" s="388"/>
      <c r="Q57" s="388"/>
      <c r="R57" s="388"/>
      <c r="S57" s="388"/>
      <c r="T57" s="388"/>
      <c r="U57" s="388"/>
      <c r="V57" s="388"/>
      <c r="W57" s="388"/>
      <c r="X57" s="388"/>
      <c r="Y57" s="388"/>
      <c r="Z57" s="388"/>
    </row>
    <row r="58">
      <c r="A58" s="385"/>
      <c r="B58" s="377" t="s">
        <v>284</v>
      </c>
      <c r="C58" s="243" t="s">
        <v>285</v>
      </c>
      <c r="D58" s="243">
        <v>17.73</v>
      </c>
      <c r="E58" s="246">
        <v>1.0</v>
      </c>
      <c r="F58" s="386"/>
      <c r="G58" s="235"/>
      <c r="H58" s="387"/>
      <c r="I58" s="377" t="s">
        <v>284</v>
      </c>
      <c r="J58" s="243" t="s">
        <v>285</v>
      </c>
      <c r="K58" s="243">
        <v>28.7</v>
      </c>
      <c r="L58" s="246">
        <v>1.0</v>
      </c>
      <c r="M58" s="386"/>
      <c r="N58" s="235"/>
      <c r="O58" s="388"/>
      <c r="P58" s="388"/>
      <c r="Q58" s="388"/>
      <c r="R58" s="388"/>
      <c r="S58" s="388"/>
      <c r="T58" s="388"/>
      <c r="U58" s="388"/>
      <c r="V58" s="388"/>
      <c r="W58" s="388"/>
      <c r="X58" s="388"/>
      <c r="Y58" s="388"/>
      <c r="Z58" s="388"/>
    </row>
    <row r="59">
      <c r="A59" s="385"/>
      <c r="B59" s="377" t="s">
        <v>286</v>
      </c>
      <c r="C59" s="243">
        <v>0.1</v>
      </c>
      <c r="D59" s="243">
        <v>0.12</v>
      </c>
      <c r="E59" s="246">
        <v>1.0</v>
      </c>
      <c r="F59" s="386"/>
      <c r="G59" s="235"/>
      <c r="H59" s="387"/>
      <c r="I59" s="377" t="s">
        <v>286</v>
      </c>
      <c r="J59" s="243">
        <v>0.1</v>
      </c>
      <c r="K59" s="243">
        <v>0.0493</v>
      </c>
      <c r="L59" s="246">
        <v>0.411</v>
      </c>
      <c r="M59" s="386"/>
      <c r="N59" s="235"/>
      <c r="O59" s="388"/>
      <c r="P59" s="388"/>
      <c r="Q59" s="388"/>
      <c r="R59" s="388"/>
      <c r="S59" s="388"/>
      <c r="T59" s="388"/>
      <c r="U59" s="388"/>
      <c r="V59" s="388"/>
      <c r="W59" s="388"/>
      <c r="X59" s="388"/>
      <c r="Y59" s="388"/>
      <c r="Z59" s="388"/>
    </row>
    <row r="60">
      <c r="A60" s="385"/>
      <c r="B60" s="377" t="s">
        <v>287</v>
      </c>
      <c r="C60" s="243">
        <v>1.2</v>
      </c>
      <c r="D60" s="243">
        <v>2.97</v>
      </c>
      <c r="E60" s="246">
        <v>1.0</v>
      </c>
      <c r="F60" s="386"/>
      <c r="G60" s="235"/>
      <c r="H60" s="387"/>
      <c r="I60" s="377" t="s">
        <v>287</v>
      </c>
      <c r="J60" s="243">
        <v>1.2</v>
      </c>
      <c r="K60" s="243">
        <v>3.2</v>
      </c>
      <c r="L60" s="246">
        <v>1.0</v>
      </c>
      <c r="M60" s="386"/>
      <c r="N60" s="235"/>
      <c r="O60" s="388"/>
      <c r="P60" s="388"/>
      <c r="Q60" s="388"/>
      <c r="R60" s="388"/>
      <c r="S60" s="388"/>
      <c r="T60" s="388"/>
      <c r="U60" s="388"/>
      <c r="V60" s="388"/>
      <c r="W60" s="388"/>
      <c r="X60" s="388"/>
      <c r="Y60" s="388"/>
      <c r="Z60" s="388"/>
    </row>
    <row r="61">
      <c r="A61" s="385"/>
      <c r="B61" s="377" t="s">
        <v>288</v>
      </c>
      <c r="C61" s="243">
        <v>1.3</v>
      </c>
      <c r="D61" s="243">
        <v>2.44</v>
      </c>
      <c r="E61" s="246">
        <v>1.0</v>
      </c>
      <c r="F61" s="386"/>
      <c r="G61" s="235"/>
      <c r="H61" s="387"/>
      <c r="I61" s="377" t="s">
        <v>288</v>
      </c>
      <c r="J61" s="243">
        <v>1.3</v>
      </c>
      <c r="K61" s="243">
        <v>3.1</v>
      </c>
      <c r="L61" s="246">
        <v>1.0</v>
      </c>
      <c r="M61" s="386"/>
      <c r="N61" s="235"/>
      <c r="O61" s="388"/>
      <c r="P61" s="388"/>
      <c r="Q61" s="388"/>
      <c r="R61" s="388"/>
      <c r="S61" s="388"/>
      <c r="T61" s="388"/>
      <c r="U61" s="388"/>
      <c r="V61" s="388"/>
      <c r="W61" s="388"/>
      <c r="X61" s="388"/>
      <c r="Y61" s="388"/>
      <c r="Z61" s="388"/>
    </row>
    <row r="62">
      <c r="A62" s="385"/>
      <c r="B62" s="377" t="s">
        <v>289</v>
      </c>
      <c r="C62" s="243" t="s">
        <v>290</v>
      </c>
      <c r="D62" s="243">
        <v>32.17</v>
      </c>
      <c r="E62" s="246">
        <v>1.0</v>
      </c>
      <c r="F62" s="386"/>
      <c r="G62" s="235"/>
      <c r="H62" s="387"/>
      <c r="I62" s="377" t="s">
        <v>289</v>
      </c>
      <c r="J62" s="243" t="s">
        <v>290</v>
      </c>
      <c r="K62" s="243">
        <v>22.9</v>
      </c>
      <c r="L62" s="246">
        <v>1.0</v>
      </c>
      <c r="M62" s="386"/>
      <c r="N62" s="235"/>
      <c r="O62" s="388"/>
      <c r="P62" s="388"/>
      <c r="Q62" s="388"/>
      <c r="R62" s="388"/>
      <c r="S62" s="388"/>
      <c r="T62" s="388"/>
      <c r="U62" s="388"/>
      <c r="V62" s="388"/>
      <c r="W62" s="388"/>
      <c r="X62" s="388"/>
      <c r="Y62" s="388"/>
      <c r="Z62" s="388"/>
    </row>
    <row r="63">
      <c r="A63" s="385"/>
      <c r="B63" s="377" t="s">
        <v>291</v>
      </c>
      <c r="C63" s="243">
        <v>5.0</v>
      </c>
      <c r="D63" s="243">
        <v>7.54</v>
      </c>
      <c r="E63" s="246">
        <v>1.0</v>
      </c>
      <c r="F63" s="386"/>
      <c r="G63" s="235"/>
      <c r="H63" s="387"/>
      <c r="I63" s="377" t="s">
        <v>291</v>
      </c>
      <c r="J63" s="243">
        <v>5.0</v>
      </c>
      <c r="K63" s="243">
        <v>5.3</v>
      </c>
      <c r="L63" s="246">
        <v>1.0</v>
      </c>
      <c r="M63" s="386"/>
      <c r="N63" s="235"/>
      <c r="O63" s="388"/>
      <c r="P63" s="388"/>
      <c r="Q63" s="388"/>
      <c r="R63" s="388"/>
      <c r="S63" s="388"/>
      <c r="T63" s="388"/>
      <c r="U63" s="388"/>
      <c r="V63" s="388"/>
      <c r="W63" s="388"/>
      <c r="X63" s="388"/>
      <c r="Y63" s="388"/>
      <c r="Z63" s="388"/>
    </row>
    <row r="64">
      <c r="A64" s="385"/>
      <c r="B64" s="377" t="s">
        <v>292</v>
      </c>
      <c r="C64" s="243" t="s">
        <v>293</v>
      </c>
      <c r="D64" s="243">
        <v>3.12</v>
      </c>
      <c r="E64" s="246">
        <v>1.0</v>
      </c>
      <c r="F64" s="386"/>
      <c r="G64" s="235"/>
      <c r="H64" s="387"/>
      <c r="I64" s="377" t="s">
        <v>292</v>
      </c>
      <c r="J64" s="243" t="s">
        <v>293</v>
      </c>
      <c r="K64" s="243">
        <v>2.4</v>
      </c>
      <c r="L64" s="246">
        <v>1.0</v>
      </c>
      <c r="M64" s="386"/>
      <c r="N64" s="235"/>
      <c r="O64" s="388"/>
      <c r="P64" s="388"/>
      <c r="Q64" s="388"/>
      <c r="R64" s="388"/>
      <c r="S64" s="388"/>
      <c r="T64" s="388"/>
      <c r="U64" s="388"/>
      <c r="V64" s="388"/>
      <c r="W64" s="388"/>
      <c r="X64" s="388"/>
      <c r="Y64" s="388"/>
      <c r="Z64" s="388"/>
    </row>
    <row r="65">
      <c r="A65" s="385"/>
      <c r="B65" s="377" t="s">
        <v>294</v>
      </c>
      <c r="C65" s="243" t="s">
        <v>295</v>
      </c>
      <c r="D65" s="243">
        <v>0.94</v>
      </c>
      <c r="E65" s="246">
        <v>1.0</v>
      </c>
      <c r="F65" s="386"/>
      <c r="G65" s="235"/>
      <c r="H65" s="387"/>
      <c r="I65" s="377" t="s">
        <v>294</v>
      </c>
      <c r="J65" s="243" t="s">
        <v>295</v>
      </c>
      <c r="K65" s="243">
        <v>0.7</v>
      </c>
      <c r="L65" s="246">
        <v>1.0</v>
      </c>
      <c r="M65" s="386"/>
      <c r="N65" s="235"/>
      <c r="O65" s="388"/>
      <c r="P65" s="388"/>
      <c r="Q65" s="388"/>
      <c r="R65" s="388"/>
      <c r="S65" s="388"/>
      <c r="T65" s="388"/>
      <c r="U65" s="388"/>
      <c r="V65" s="388"/>
      <c r="W65" s="388"/>
      <c r="X65" s="388"/>
      <c r="Y65" s="388"/>
      <c r="Z65" s="388"/>
    </row>
    <row r="66">
      <c r="A66" s="385"/>
      <c r="B66" s="377" t="s">
        <v>296</v>
      </c>
      <c r="C66" s="243">
        <v>0.0024</v>
      </c>
      <c r="D66" s="243">
        <v>0.0</v>
      </c>
      <c r="E66" s="246">
        <v>0.0</v>
      </c>
      <c r="F66" s="386"/>
      <c r="G66" s="235"/>
      <c r="H66" s="387"/>
      <c r="I66" s="377" t="s">
        <v>296</v>
      </c>
      <c r="J66" s="243">
        <v>0.0024</v>
      </c>
      <c r="K66" s="243">
        <v>0.0012</v>
      </c>
      <c r="L66" s="246">
        <v>0.5</v>
      </c>
      <c r="M66" s="386"/>
      <c r="N66" s="235"/>
      <c r="O66" s="388"/>
      <c r="P66" s="388"/>
      <c r="Q66" s="388"/>
      <c r="R66" s="388"/>
      <c r="S66" s="388"/>
      <c r="T66" s="388"/>
      <c r="U66" s="388"/>
      <c r="V66" s="388"/>
      <c r="W66" s="388"/>
      <c r="X66" s="388"/>
      <c r="Y66" s="388"/>
      <c r="Z66" s="388"/>
    </row>
    <row r="67">
      <c r="A67" s="385"/>
      <c r="B67" s="377" t="s">
        <v>297</v>
      </c>
      <c r="C67" s="243" t="s">
        <v>298</v>
      </c>
      <c r="D67" s="243">
        <v>2228.02</v>
      </c>
      <c r="E67" s="246">
        <v>1.0</v>
      </c>
      <c r="F67" s="386"/>
      <c r="G67" s="235"/>
      <c r="H67" s="387"/>
      <c r="I67" s="377" t="s">
        <v>297</v>
      </c>
      <c r="J67" s="243" t="s">
        <v>298</v>
      </c>
      <c r="K67" s="243">
        <v>857.9</v>
      </c>
      <c r="L67" s="246">
        <v>0.858</v>
      </c>
      <c r="M67" s="386"/>
      <c r="N67" s="235"/>
      <c r="O67" s="388"/>
      <c r="P67" s="388"/>
      <c r="Q67" s="388"/>
      <c r="R67" s="388"/>
      <c r="S67" s="388"/>
      <c r="T67" s="388"/>
      <c r="U67" s="388"/>
      <c r="V67" s="388"/>
      <c r="W67" s="388"/>
      <c r="X67" s="388"/>
      <c r="Y67" s="388"/>
      <c r="Z67" s="388"/>
    </row>
    <row r="68">
      <c r="A68" s="385"/>
      <c r="B68" s="377" t="s">
        <v>299</v>
      </c>
      <c r="C68" s="243" t="s">
        <v>300</v>
      </c>
      <c r="D68" s="243">
        <v>32.34</v>
      </c>
      <c r="E68" s="246">
        <v>1.0</v>
      </c>
      <c r="F68" s="386"/>
      <c r="G68" s="235"/>
      <c r="H68" s="387"/>
      <c r="I68" s="377" t="s">
        <v>299</v>
      </c>
      <c r="J68" s="243" t="s">
        <v>300</v>
      </c>
      <c r="K68" s="243">
        <v>28.2</v>
      </c>
      <c r="L68" s="246">
        <v>1.0</v>
      </c>
      <c r="M68" s="386"/>
      <c r="N68" s="235"/>
      <c r="O68" s="388"/>
      <c r="P68" s="388"/>
      <c r="Q68" s="388"/>
      <c r="R68" s="388"/>
      <c r="S68" s="388"/>
      <c r="T68" s="388"/>
      <c r="U68" s="388"/>
      <c r="V68" s="388"/>
      <c r="W68" s="388"/>
      <c r="X68" s="388"/>
      <c r="Y68" s="388"/>
      <c r="Z68" s="388"/>
    </row>
    <row r="69">
      <c r="A69" s="385"/>
      <c r="B69" s="377" t="s">
        <v>301</v>
      </c>
      <c r="C69" s="243">
        <v>400.0</v>
      </c>
      <c r="D69" s="243">
        <v>576.74</v>
      </c>
      <c r="E69" s="246">
        <v>1.0</v>
      </c>
      <c r="F69" s="386"/>
      <c r="G69" s="235"/>
      <c r="H69" s="387"/>
      <c r="I69" s="377" t="s">
        <v>301</v>
      </c>
      <c r="J69" s="243">
        <v>400.0</v>
      </c>
      <c r="K69" s="243">
        <v>841.7</v>
      </c>
      <c r="L69" s="246">
        <v>1.0</v>
      </c>
      <c r="M69" s="386"/>
      <c r="N69" s="235"/>
      <c r="O69" s="388"/>
      <c r="P69" s="388"/>
      <c r="Q69" s="388"/>
      <c r="R69" s="388"/>
      <c r="S69" s="388"/>
      <c r="T69" s="388"/>
      <c r="U69" s="388"/>
      <c r="V69" s="388"/>
      <c r="W69" s="388"/>
      <c r="X69" s="388"/>
      <c r="Y69" s="388"/>
      <c r="Z69" s="388"/>
    </row>
    <row r="70">
      <c r="A70" s="385"/>
      <c r="B70" s="377" t="s">
        <v>302</v>
      </c>
      <c r="C70" s="243" t="s">
        <v>303</v>
      </c>
      <c r="D70" s="243">
        <v>2190.62</v>
      </c>
      <c r="E70" s="246">
        <v>1.0</v>
      </c>
      <c r="F70" s="386"/>
      <c r="G70" s="235"/>
      <c r="H70" s="387"/>
      <c r="I70" s="377" t="s">
        <v>302</v>
      </c>
      <c r="J70" s="243" t="s">
        <v>303</v>
      </c>
      <c r="K70" s="243">
        <v>3046.1</v>
      </c>
      <c r="L70" s="246">
        <v>1.0</v>
      </c>
      <c r="M70" s="386"/>
      <c r="N70" s="235"/>
      <c r="O70" s="388"/>
      <c r="P70" s="388"/>
      <c r="Q70" s="388"/>
      <c r="R70" s="388"/>
      <c r="S70" s="388"/>
      <c r="T70" s="388"/>
      <c r="U70" s="388"/>
      <c r="V70" s="388"/>
      <c r="W70" s="388"/>
      <c r="X70" s="388"/>
      <c r="Y70" s="388"/>
      <c r="Z70" s="388"/>
    </row>
    <row r="71">
      <c r="A71" s="385"/>
      <c r="B71" s="377" t="s">
        <v>304</v>
      </c>
      <c r="C71" s="243">
        <v>3400.0</v>
      </c>
      <c r="D71" s="243">
        <v>4386.31</v>
      </c>
      <c r="E71" s="246">
        <v>1.0</v>
      </c>
      <c r="F71" s="386"/>
      <c r="G71" s="235"/>
      <c r="H71" s="387"/>
      <c r="I71" s="377" t="s">
        <v>304</v>
      </c>
      <c r="J71" s="243">
        <v>3400.0</v>
      </c>
      <c r="K71" s="243">
        <v>4308.9</v>
      </c>
      <c r="L71" s="246">
        <v>1.0</v>
      </c>
      <c r="M71" s="386"/>
      <c r="N71" s="235"/>
      <c r="O71" s="388"/>
      <c r="P71" s="388"/>
      <c r="Q71" s="388"/>
      <c r="R71" s="388"/>
      <c r="S71" s="388"/>
      <c r="T71" s="388"/>
      <c r="U71" s="388"/>
      <c r="V71" s="388"/>
      <c r="W71" s="388"/>
      <c r="X71" s="388"/>
      <c r="Y71" s="388"/>
      <c r="Z71" s="388"/>
    </row>
    <row r="72">
      <c r="A72" s="385"/>
      <c r="B72" s="377" t="s">
        <v>305</v>
      </c>
      <c r="C72" s="243" t="s">
        <v>306</v>
      </c>
      <c r="D72" s="243">
        <v>22.23</v>
      </c>
      <c r="E72" s="246">
        <v>1.0</v>
      </c>
      <c r="F72" s="386"/>
      <c r="G72" s="235"/>
      <c r="H72" s="387"/>
      <c r="I72" s="377" t="s">
        <v>305</v>
      </c>
      <c r="J72" s="243" t="s">
        <v>306</v>
      </c>
      <c r="K72" s="243">
        <v>31.4</v>
      </c>
      <c r="L72" s="246">
        <v>1.0</v>
      </c>
      <c r="M72" s="386"/>
      <c r="N72" s="235"/>
      <c r="O72" s="388"/>
      <c r="P72" s="388"/>
      <c r="Q72" s="388"/>
      <c r="R72" s="388"/>
      <c r="S72" s="388"/>
      <c r="T72" s="388"/>
      <c r="U72" s="388"/>
      <c r="V72" s="388"/>
      <c r="W72" s="388"/>
      <c r="X72" s="388"/>
      <c r="Y72" s="388"/>
      <c r="Z72" s="388"/>
    </row>
    <row r="73">
      <c r="A73" s="385"/>
      <c r="B73" s="377" t="s">
        <v>307</v>
      </c>
      <c r="C73" s="243" t="s">
        <v>308</v>
      </c>
      <c r="D73" s="243">
        <v>2.4</v>
      </c>
      <c r="E73" s="246">
        <v>1.0</v>
      </c>
      <c r="F73" s="386"/>
      <c r="G73" s="235"/>
      <c r="H73" s="387"/>
      <c r="I73" s="377" t="s">
        <v>307</v>
      </c>
      <c r="J73" s="243" t="s">
        <v>308</v>
      </c>
      <c r="K73" s="243">
        <v>2.0</v>
      </c>
      <c r="L73" s="246">
        <v>1.0</v>
      </c>
      <c r="M73" s="386"/>
      <c r="N73" s="235"/>
      <c r="O73" s="388"/>
      <c r="P73" s="388"/>
      <c r="Q73" s="388"/>
      <c r="R73" s="388"/>
      <c r="S73" s="388"/>
      <c r="T73" s="388"/>
      <c r="U73" s="388"/>
      <c r="V73" s="388"/>
      <c r="W73" s="388"/>
      <c r="X73" s="388"/>
      <c r="Y73" s="388"/>
      <c r="Z73" s="388"/>
    </row>
    <row r="74">
      <c r="A74" s="385"/>
      <c r="B74" s="377" t="s">
        <v>309</v>
      </c>
      <c r="C74" s="243" t="s">
        <v>310</v>
      </c>
      <c r="D74" s="243">
        <v>5.49</v>
      </c>
      <c r="E74" s="246">
        <v>1.0</v>
      </c>
      <c r="F74" s="386"/>
      <c r="G74" s="235"/>
      <c r="H74" s="387"/>
      <c r="I74" s="377" t="s">
        <v>309</v>
      </c>
      <c r="J74" s="243" t="s">
        <v>310</v>
      </c>
      <c r="K74" s="243">
        <v>32.2</v>
      </c>
      <c r="L74" s="246">
        <f>K74/11</f>
        <v>2.927272727</v>
      </c>
      <c r="M74" s="386"/>
      <c r="N74" s="235"/>
      <c r="O74" s="388"/>
      <c r="P74" s="388"/>
      <c r="Q74" s="388"/>
      <c r="R74" s="388"/>
      <c r="S74" s="388"/>
      <c r="T74" s="388"/>
      <c r="U74" s="388"/>
      <c r="V74" s="388"/>
      <c r="W74" s="388"/>
      <c r="X74" s="388"/>
      <c r="Y74" s="388"/>
      <c r="Z74" s="388"/>
    </row>
    <row r="75">
      <c r="A75" s="385"/>
      <c r="B75" s="377" t="s">
        <v>311</v>
      </c>
      <c r="C75" s="243" t="s">
        <v>312</v>
      </c>
      <c r="D75" s="243">
        <v>0.16</v>
      </c>
      <c r="E75" s="246">
        <v>1.0</v>
      </c>
      <c r="F75" s="386"/>
      <c r="G75" s="235"/>
      <c r="H75" s="387"/>
      <c r="I75" s="377" t="s">
        <v>311</v>
      </c>
      <c r="J75" s="243" t="s">
        <v>312</v>
      </c>
      <c r="K75" s="243">
        <v>0.2</v>
      </c>
      <c r="L75" s="246">
        <v>1.0</v>
      </c>
      <c r="M75" s="386"/>
      <c r="N75" s="235"/>
      <c r="O75" s="388"/>
      <c r="P75" s="388"/>
      <c r="Q75" s="388"/>
      <c r="R75" s="388"/>
      <c r="S75" s="388"/>
      <c r="T75" s="388"/>
      <c r="U75" s="388"/>
      <c r="V75" s="388"/>
      <c r="W75" s="388"/>
      <c r="X75" s="388"/>
      <c r="Y75" s="388"/>
      <c r="Z75" s="388"/>
    </row>
    <row r="76">
      <c r="A76" s="385"/>
      <c r="B76" s="377" t="s">
        <v>167</v>
      </c>
      <c r="C76" s="243">
        <v>3700.0</v>
      </c>
      <c r="D76" s="243">
        <v>1115.79</v>
      </c>
      <c r="E76" s="246">
        <v>0.3015649</v>
      </c>
      <c r="F76" s="386"/>
      <c r="G76" s="235"/>
      <c r="H76" s="387"/>
      <c r="I76" s="377" t="s">
        <v>167</v>
      </c>
      <c r="J76" s="243">
        <v>3700.0</v>
      </c>
      <c r="K76" s="243">
        <v>456.5</v>
      </c>
      <c r="L76" s="246">
        <v>0.123</v>
      </c>
      <c r="M76" s="386"/>
      <c r="N76" s="235"/>
      <c r="O76" s="388"/>
      <c r="P76" s="388"/>
      <c r="Q76" s="388"/>
      <c r="R76" s="388"/>
      <c r="S76" s="388"/>
      <c r="T76" s="388"/>
      <c r="U76" s="388"/>
      <c r="V76" s="388"/>
      <c r="W76" s="388"/>
      <c r="X76" s="388"/>
      <c r="Y76" s="388"/>
      <c r="Z76" s="388"/>
    </row>
    <row r="77">
      <c r="A77" s="385"/>
      <c r="B77" s="377" t="s">
        <v>313</v>
      </c>
      <c r="C77" s="243">
        <v>38.0</v>
      </c>
      <c r="D77" s="243" t="s">
        <v>561</v>
      </c>
      <c r="E77" s="246">
        <v>1.0815</v>
      </c>
      <c r="F77" s="386"/>
      <c r="G77" s="235"/>
      <c r="H77" s="387"/>
      <c r="I77" s="377" t="s">
        <v>313</v>
      </c>
      <c r="J77" s="243">
        <v>38.0</v>
      </c>
      <c r="K77" s="243">
        <v>105.6</v>
      </c>
      <c r="L77" s="246">
        <v>1.0</v>
      </c>
      <c r="M77" s="386"/>
      <c r="N77" s="235"/>
      <c r="O77" s="388"/>
      <c r="P77" s="388"/>
      <c r="Q77" s="388"/>
      <c r="R77" s="388"/>
      <c r="S77" s="388"/>
      <c r="T77" s="388"/>
      <c r="U77" s="388"/>
      <c r="V77" s="388"/>
      <c r="W77" s="388"/>
      <c r="X77" s="388"/>
      <c r="Y77" s="388"/>
      <c r="Z77" s="388"/>
    </row>
    <row r="78">
      <c r="A78" s="28"/>
    </row>
    <row r="79" ht="24.75" customHeight="1">
      <c r="A79" s="142"/>
      <c r="B79" s="261" t="s">
        <v>314</v>
      </c>
      <c r="C79" s="262"/>
      <c r="D79" s="262"/>
      <c r="E79" s="262"/>
      <c r="F79" s="262"/>
      <c r="G79" s="262"/>
      <c r="H79" s="262"/>
      <c r="I79" s="262"/>
      <c r="J79" s="262"/>
      <c r="K79" s="262"/>
      <c r="L79" s="262"/>
      <c r="M79" s="262"/>
      <c r="N79" s="263"/>
      <c r="O79" s="146"/>
      <c r="P79" s="146"/>
      <c r="Q79" s="146"/>
      <c r="R79" s="146"/>
      <c r="S79" s="146"/>
      <c r="T79" s="146"/>
      <c r="U79" s="146"/>
      <c r="V79" s="146"/>
      <c r="W79" s="146"/>
      <c r="X79" s="146"/>
      <c r="Y79" s="146"/>
      <c r="Z79" s="146"/>
    </row>
    <row r="80">
      <c r="A80" s="28"/>
      <c r="B80" s="264" t="s">
        <v>315</v>
      </c>
      <c r="C80" s="262"/>
      <c r="D80" s="262"/>
      <c r="E80" s="262"/>
      <c r="F80" s="262"/>
      <c r="G80" s="262"/>
      <c r="H80" s="262"/>
      <c r="I80" s="262"/>
      <c r="J80" s="262"/>
      <c r="K80" s="262"/>
      <c r="L80" s="262"/>
      <c r="M80" s="262"/>
      <c r="N80" s="263"/>
    </row>
    <row r="81">
      <c r="A81" s="28"/>
      <c r="B81" s="265" t="s">
        <v>316</v>
      </c>
      <c r="C81" s="266" t="s">
        <v>317</v>
      </c>
      <c r="D81" s="266" t="s">
        <v>318</v>
      </c>
      <c r="E81" s="267" t="s">
        <v>319</v>
      </c>
      <c r="F81" s="268" t="s">
        <v>320</v>
      </c>
      <c r="G81" s="269" t="s">
        <v>321</v>
      </c>
      <c r="H81" s="164"/>
      <c r="I81" s="270" t="s">
        <v>316</v>
      </c>
      <c r="J81" s="271" t="s">
        <v>317</v>
      </c>
      <c r="K81" s="271" t="s">
        <v>318</v>
      </c>
      <c r="L81" s="272" t="s">
        <v>319</v>
      </c>
      <c r="M81" s="273" t="s">
        <v>322</v>
      </c>
      <c r="N81" s="274" t="s">
        <v>323</v>
      </c>
    </row>
    <row r="82">
      <c r="A82" s="28"/>
      <c r="B82" s="275" t="s">
        <v>94</v>
      </c>
      <c r="C82" s="276" t="s">
        <v>324</v>
      </c>
      <c r="D82" s="277" t="s">
        <v>325</v>
      </c>
      <c r="E82" s="278">
        <v>3.0</v>
      </c>
      <c r="F82" s="279" t="str">
        <f t="shared" ref="F82:F90" si="2">IF(ISBLANK(E82),"— Belum diisi",IF(E82=1,"Sangat Tidak Sesuai",IF(E82=2,"Tidak Sesuai",IF(E82=3,"Cukup Sesuai",IF(E82=4,"Sesuai",IF(E82=5,"Sangat Sesuai","—"))))))</f>
        <v>Cukup Sesuai</v>
      </c>
      <c r="G82" s="280" t="s">
        <v>562</v>
      </c>
      <c r="H82" s="164"/>
      <c r="I82" s="281" t="s">
        <v>94</v>
      </c>
      <c r="J82" s="282" t="s">
        <v>324</v>
      </c>
      <c r="K82" s="283" t="s">
        <v>325</v>
      </c>
      <c r="L82" s="278">
        <v>3.0</v>
      </c>
      <c r="M82" s="285" t="str">
        <f t="shared" ref="M82:M90" si="3">IF(ISBLANK(L82),"— Belum diisi",IF(L82=1,"Sangat Tidak Sesuai",IF(L82=2,"Tidak Sesuai",IF(L82=3,"Cukup Sesuai",IF(L82=4,"Sesuai",IF(L82=5,"Sangat Sesuai","—"))))))</f>
        <v>Cukup Sesuai</v>
      </c>
      <c r="N82" s="280" t="s">
        <v>562</v>
      </c>
    </row>
    <row r="83">
      <c r="A83" s="28"/>
      <c r="B83" s="275" t="s">
        <v>95</v>
      </c>
      <c r="C83" s="286" t="s">
        <v>327</v>
      </c>
      <c r="D83" s="287" t="s">
        <v>328</v>
      </c>
      <c r="E83" s="278">
        <v>3.0</v>
      </c>
      <c r="F83" s="288" t="str">
        <f t="shared" si="2"/>
        <v>Cukup Sesuai</v>
      </c>
      <c r="G83" s="280" t="s">
        <v>563</v>
      </c>
      <c r="H83" s="164"/>
      <c r="I83" s="281" t="s">
        <v>95</v>
      </c>
      <c r="J83" s="286" t="s">
        <v>327</v>
      </c>
      <c r="K83" s="287" t="s">
        <v>328</v>
      </c>
      <c r="L83" s="278">
        <v>3.0</v>
      </c>
      <c r="M83" s="288" t="str">
        <f t="shared" si="3"/>
        <v>Cukup Sesuai</v>
      </c>
      <c r="N83" s="280" t="s">
        <v>563</v>
      </c>
    </row>
    <row r="84">
      <c r="A84" s="28"/>
      <c r="B84" s="275" t="s">
        <v>96</v>
      </c>
      <c r="C84" s="276" t="s">
        <v>330</v>
      </c>
      <c r="D84" s="277" t="s">
        <v>331</v>
      </c>
      <c r="E84" s="278">
        <v>3.0</v>
      </c>
      <c r="F84" s="279" t="str">
        <f t="shared" si="2"/>
        <v>Cukup Sesuai</v>
      </c>
      <c r="G84" s="280" t="s">
        <v>564</v>
      </c>
      <c r="H84" s="164"/>
      <c r="I84" s="281" t="s">
        <v>96</v>
      </c>
      <c r="J84" s="282" t="s">
        <v>330</v>
      </c>
      <c r="K84" s="289" t="s">
        <v>331</v>
      </c>
      <c r="L84" s="278">
        <v>3.0</v>
      </c>
      <c r="M84" s="290" t="str">
        <f t="shared" si="3"/>
        <v>Cukup Sesuai</v>
      </c>
      <c r="N84" s="280" t="s">
        <v>564</v>
      </c>
    </row>
    <row r="85">
      <c r="A85" s="28"/>
      <c r="B85" s="275" t="s">
        <v>97</v>
      </c>
      <c r="C85" s="286" t="s">
        <v>334</v>
      </c>
      <c r="D85" s="287" t="s">
        <v>335</v>
      </c>
      <c r="E85" s="278">
        <v>4.0</v>
      </c>
      <c r="F85" s="288" t="str">
        <f t="shared" si="2"/>
        <v>Sesuai</v>
      </c>
      <c r="G85" s="280" t="s">
        <v>565</v>
      </c>
      <c r="H85" s="164"/>
      <c r="I85" s="281" t="s">
        <v>97</v>
      </c>
      <c r="J85" s="286" t="s">
        <v>334</v>
      </c>
      <c r="K85" s="287" t="s">
        <v>335</v>
      </c>
      <c r="L85" s="278">
        <v>3.0</v>
      </c>
      <c r="M85" s="288" t="str">
        <f t="shared" si="3"/>
        <v>Cukup Sesuai</v>
      </c>
      <c r="N85" s="280" t="s">
        <v>565</v>
      </c>
    </row>
    <row r="86">
      <c r="A86" s="28"/>
      <c r="B86" s="275" t="s">
        <v>98</v>
      </c>
      <c r="C86" s="276" t="s">
        <v>336</v>
      </c>
      <c r="D86" s="277" t="s">
        <v>337</v>
      </c>
      <c r="E86" s="278">
        <v>3.0</v>
      </c>
      <c r="F86" s="279" t="str">
        <f t="shared" si="2"/>
        <v>Cukup Sesuai</v>
      </c>
      <c r="G86" s="280" t="s">
        <v>497</v>
      </c>
      <c r="H86" s="164"/>
      <c r="I86" s="281" t="s">
        <v>98</v>
      </c>
      <c r="J86" s="282" t="s">
        <v>336</v>
      </c>
      <c r="K86" s="289" t="s">
        <v>337</v>
      </c>
      <c r="L86" s="278">
        <v>3.0</v>
      </c>
      <c r="M86" s="290" t="str">
        <f t="shared" si="3"/>
        <v>Cukup Sesuai</v>
      </c>
      <c r="N86" s="280" t="s">
        <v>566</v>
      </c>
    </row>
    <row r="87">
      <c r="A87" s="28"/>
      <c r="B87" s="291" t="s">
        <v>99</v>
      </c>
      <c r="C87" s="286" t="s">
        <v>339</v>
      </c>
      <c r="D87" s="287" t="s">
        <v>340</v>
      </c>
      <c r="E87" s="278">
        <v>3.0</v>
      </c>
      <c r="F87" s="288" t="str">
        <f t="shared" si="2"/>
        <v>Cukup Sesuai</v>
      </c>
      <c r="G87" s="280" t="s">
        <v>567</v>
      </c>
      <c r="H87" s="164"/>
      <c r="I87" s="292" t="s">
        <v>99</v>
      </c>
      <c r="J87" s="286" t="s">
        <v>339</v>
      </c>
      <c r="K87" s="287" t="s">
        <v>340</v>
      </c>
      <c r="L87" s="278">
        <v>3.0</v>
      </c>
      <c r="M87" s="288" t="str">
        <f t="shared" si="3"/>
        <v>Cukup Sesuai</v>
      </c>
      <c r="N87" s="280" t="s">
        <v>567</v>
      </c>
    </row>
    <row r="88">
      <c r="A88" s="28"/>
      <c r="B88" s="293" t="s">
        <v>100</v>
      </c>
      <c r="C88" s="276" t="s">
        <v>343</v>
      </c>
      <c r="D88" s="277" t="s">
        <v>344</v>
      </c>
      <c r="E88" s="278">
        <v>3.0</v>
      </c>
      <c r="F88" s="279" t="str">
        <f t="shared" si="2"/>
        <v>Cukup Sesuai</v>
      </c>
      <c r="G88" s="280" t="s">
        <v>568</v>
      </c>
      <c r="H88" s="164"/>
      <c r="I88" s="294" t="s">
        <v>100</v>
      </c>
      <c r="J88" s="282" t="s">
        <v>343</v>
      </c>
      <c r="K88" s="289" t="s">
        <v>344</v>
      </c>
      <c r="L88" s="278">
        <v>3.0</v>
      </c>
      <c r="M88" s="290" t="str">
        <f t="shared" si="3"/>
        <v>Cukup Sesuai</v>
      </c>
      <c r="N88" s="280" t="s">
        <v>568</v>
      </c>
    </row>
    <row r="89">
      <c r="A89" s="28"/>
      <c r="B89" s="295" t="s">
        <v>101</v>
      </c>
      <c r="C89" s="286" t="s">
        <v>346</v>
      </c>
      <c r="D89" s="287" t="s">
        <v>347</v>
      </c>
      <c r="E89" s="278">
        <v>3.0</v>
      </c>
      <c r="F89" s="288" t="str">
        <f t="shared" si="2"/>
        <v>Cukup Sesuai</v>
      </c>
      <c r="G89" s="280" t="s">
        <v>569</v>
      </c>
      <c r="H89" s="164"/>
      <c r="I89" s="296" t="s">
        <v>101</v>
      </c>
      <c r="J89" s="286" t="s">
        <v>346</v>
      </c>
      <c r="K89" s="287" t="s">
        <v>347</v>
      </c>
      <c r="L89" s="278">
        <v>4.0</v>
      </c>
      <c r="M89" s="288" t="str">
        <f t="shared" si="3"/>
        <v>Sesuai</v>
      </c>
      <c r="N89" s="297"/>
    </row>
    <row r="90">
      <c r="A90" s="28"/>
      <c r="B90" s="298" t="s">
        <v>102</v>
      </c>
      <c r="C90" s="276" t="s">
        <v>349</v>
      </c>
      <c r="D90" s="277" t="s">
        <v>350</v>
      </c>
      <c r="E90" s="278">
        <v>4.0</v>
      </c>
      <c r="F90" s="279" t="str">
        <f t="shared" si="2"/>
        <v>Sesuai</v>
      </c>
      <c r="G90" s="297"/>
      <c r="H90" s="164"/>
      <c r="I90" s="299" t="s">
        <v>102</v>
      </c>
      <c r="J90" s="282" t="s">
        <v>349</v>
      </c>
      <c r="K90" s="289" t="s">
        <v>350</v>
      </c>
      <c r="L90" s="278">
        <v>4.0</v>
      </c>
      <c r="M90" s="290" t="str">
        <f t="shared" si="3"/>
        <v>Sesuai</v>
      </c>
      <c r="N90" s="297"/>
    </row>
    <row r="91">
      <c r="A91" s="28"/>
      <c r="B91" s="300" t="s">
        <v>351</v>
      </c>
      <c r="C91" s="301"/>
      <c r="D91" s="27"/>
      <c r="E91" s="302">
        <f>IFERROR(AVERAGE(E82,E83,E84,E85,E86,E87,E88,E89,E90),"—")</f>
        <v>3.222222222</v>
      </c>
      <c r="F91" s="303" t="str">
        <f>IF(ISNUMBER(E91),IF(E91&lt;2,"Sangat Tidak Sesuai",IF(E91&lt;3,"Tidak Sesuai",IF(E91&lt;4,"Cukup Sesuai",IF(E91&lt;4.6,"Sesuai","Sangat Sesuai")))),"—")</f>
        <v>Cukup Sesuai</v>
      </c>
      <c r="G91" s="3"/>
      <c r="H91" s="164"/>
      <c r="I91" s="304" t="s">
        <v>351</v>
      </c>
      <c r="J91" s="301"/>
      <c r="K91" s="27"/>
      <c r="L91" s="294">
        <f>IFERROR(AVERAGE(L82,L83,L84,L85,L86,L87,L88,L89,L90),"—")</f>
        <v>3.222222222</v>
      </c>
      <c r="M91" s="305" t="str">
        <f>IF(ISNUMBER(L91),IF(L91&lt;2,"Sangat Tidak Sesuai",IF(L91&lt;3,"Tidak Sesuai",IF(L91&lt;4,"Cukup Sesuai",IF(L91&lt;4.6,"Sesuai","Sangat Sesuai")))),"—")</f>
        <v>Cukup Sesuai</v>
      </c>
      <c r="N91" s="3"/>
    </row>
    <row r="92">
      <c r="A92" s="28"/>
      <c r="B92" s="306"/>
    </row>
    <row r="93" ht="24.75" customHeight="1">
      <c r="A93" s="142"/>
      <c r="B93" s="307" t="s">
        <v>352</v>
      </c>
      <c r="C93" s="170"/>
      <c r="D93" s="170"/>
      <c r="E93" s="170"/>
      <c r="F93" s="170"/>
      <c r="G93" s="170"/>
      <c r="H93" s="170"/>
      <c r="I93" s="170"/>
      <c r="J93" s="170"/>
      <c r="K93" s="170"/>
      <c r="L93" s="170"/>
      <c r="M93" s="170"/>
      <c r="N93" s="308"/>
      <c r="O93" s="146"/>
      <c r="P93" s="146"/>
      <c r="Q93" s="146"/>
      <c r="R93" s="146"/>
      <c r="S93" s="146"/>
      <c r="T93" s="146"/>
      <c r="U93" s="146"/>
      <c r="V93" s="146"/>
      <c r="W93" s="146"/>
      <c r="X93" s="146"/>
      <c r="Y93" s="146"/>
      <c r="Z93" s="146"/>
    </row>
    <row r="94" ht="23.25" customHeight="1">
      <c r="A94" s="147"/>
      <c r="B94" s="309" t="s">
        <v>353</v>
      </c>
      <c r="C94" s="310"/>
      <c r="D94" s="310"/>
      <c r="E94" s="310"/>
      <c r="F94" s="310"/>
      <c r="G94" s="311"/>
      <c r="H94" s="312"/>
      <c r="I94" s="313" t="s">
        <v>354</v>
      </c>
      <c r="J94" s="30"/>
      <c r="K94" s="30"/>
      <c r="L94" s="30"/>
      <c r="M94" s="30"/>
      <c r="N94" s="3"/>
      <c r="O94" s="153"/>
      <c r="P94" s="153"/>
      <c r="Q94" s="153"/>
      <c r="R94" s="153"/>
      <c r="S94" s="153"/>
      <c r="T94" s="153"/>
      <c r="U94" s="153"/>
      <c r="V94" s="153"/>
      <c r="W94" s="153"/>
      <c r="X94" s="153"/>
      <c r="Y94" s="153"/>
      <c r="Z94" s="153"/>
    </row>
    <row r="95">
      <c r="A95" s="28"/>
      <c r="B95" s="314" t="s">
        <v>355</v>
      </c>
      <c r="C95" s="315"/>
      <c r="D95" s="315"/>
      <c r="E95" s="315"/>
      <c r="F95" s="315"/>
      <c r="G95" s="316"/>
      <c r="H95" s="260"/>
      <c r="I95" s="317" t="s">
        <v>355</v>
      </c>
      <c r="J95" s="30"/>
      <c r="K95" s="30"/>
      <c r="L95" s="30"/>
      <c r="M95" s="30"/>
      <c r="N95" s="3"/>
    </row>
    <row r="96">
      <c r="A96" s="28"/>
      <c r="B96" s="318" t="s">
        <v>356</v>
      </c>
      <c r="H96" s="260"/>
      <c r="I96" s="319" t="s">
        <v>356</v>
      </c>
      <c r="J96" s="30"/>
      <c r="K96" s="30"/>
      <c r="L96" s="30"/>
      <c r="M96" s="30"/>
      <c r="N96" s="3"/>
    </row>
    <row r="97">
      <c r="A97" s="28"/>
      <c r="B97" s="320" t="s">
        <v>570</v>
      </c>
      <c r="G97" s="321"/>
      <c r="H97" s="322"/>
      <c r="I97" s="323" t="s">
        <v>570</v>
      </c>
      <c r="J97" s="324"/>
      <c r="K97" s="324"/>
      <c r="L97" s="324"/>
      <c r="M97" s="324"/>
      <c r="N97" s="325"/>
    </row>
    <row r="98">
      <c r="A98" s="28"/>
      <c r="B98" s="326"/>
      <c r="G98" s="321"/>
      <c r="H98" s="322"/>
      <c r="I98" s="327"/>
      <c r="N98" s="328"/>
    </row>
    <row r="99">
      <c r="A99" s="28"/>
      <c r="B99" s="326"/>
      <c r="G99" s="321"/>
      <c r="H99" s="322"/>
      <c r="I99" s="327"/>
      <c r="N99" s="328"/>
    </row>
    <row r="100">
      <c r="A100" s="28"/>
      <c r="B100" s="329"/>
      <c r="C100" s="330"/>
      <c r="D100" s="330"/>
      <c r="E100" s="330"/>
      <c r="F100" s="330"/>
      <c r="G100" s="331"/>
      <c r="H100" s="322"/>
      <c r="I100" s="332"/>
      <c r="J100" s="333"/>
      <c r="K100" s="333"/>
      <c r="L100" s="333"/>
      <c r="M100" s="333"/>
      <c r="N100" s="334"/>
    </row>
    <row r="101">
      <c r="A101" s="28"/>
      <c r="B101" s="28"/>
      <c r="C101" s="28"/>
      <c r="D101" s="28"/>
      <c r="E101" s="28"/>
      <c r="F101" s="28"/>
      <c r="G101" s="28"/>
    </row>
    <row r="102">
      <c r="A102" s="28"/>
      <c r="B102" s="335" t="s">
        <v>358</v>
      </c>
      <c r="C102" s="144"/>
      <c r="D102" s="144"/>
      <c r="E102" s="144"/>
      <c r="F102" s="144"/>
      <c r="G102" s="145"/>
      <c r="H102" s="164"/>
      <c r="I102" s="336" t="s">
        <v>358</v>
      </c>
      <c r="J102" s="30"/>
      <c r="K102" s="30"/>
      <c r="L102" s="30"/>
      <c r="M102" s="30"/>
      <c r="N102" s="3"/>
    </row>
    <row r="103">
      <c r="A103" s="28"/>
      <c r="B103" s="337" t="s">
        <v>359</v>
      </c>
      <c r="H103" s="260"/>
      <c r="I103" s="338" t="s">
        <v>359</v>
      </c>
      <c r="J103" s="30"/>
      <c r="K103" s="30"/>
      <c r="L103" s="30"/>
      <c r="M103" s="30"/>
      <c r="N103" s="3"/>
    </row>
    <row r="104">
      <c r="A104" s="28"/>
      <c r="B104" s="339" t="s">
        <v>441</v>
      </c>
      <c r="G104" s="328"/>
      <c r="H104" s="340"/>
      <c r="I104" s="341" t="s">
        <v>441</v>
      </c>
      <c r="J104" s="324"/>
      <c r="K104" s="324"/>
      <c r="L104" s="324"/>
      <c r="M104" s="324"/>
      <c r="N104" s="325"/>
    </row>
    <row r="105">
      <c r="A105" s="28"/>
      <c r="B105" s="342"/>
      <c r="G105" s="328"/>
      <c r="H105" s="340"/>
      <c r="I105" s="327"/>
      <c r="N105" s="328"/>
    </row>
    <row r="106">
      <c r="A106" s="28"/>
      <c r="B106" s="342"/>
      <c r="G106" s="328"/>
      <c r="H106" s="340"/>
      <c r="I106" s="327"/>
      <c r="N106" s="328"/>
    </row>
    <row r="107">
      <c r="A107" s="28"/>
      <c r="B107" s="343"/>
      <c r="C107" s="163"/>
      <c r="D107" s="163"/>
      <c r="E107" s="163"/>
      <c r="F107" s="163"/>
      <c r="G107" s="344"/>
      <c r="H107" s="340"/>
      <c r="I107" s="332"/>
      <c r="J107" s="333"/>
      <c r="K107" s="333"/>
      <c r="L107" s="333"/>
      <c r="M107" s="333"/>
      <c r="N107" s="334"/>
    </row>
    <row r="108">
      <c r="A108" s="28"/>
    </row>
    <row r="109">
      <c r="A109" s="28"/>
      <c r="B109" s="345" t="s">
        <v>361</v>
      </c>
      <c r="C109" s="30"/>
      <c r="D109" s="30"/>
      <c r="E109" s="30"/>
      <c r="F109" s="30"/>
      <c r="G109" s="3"/>
      <c r="H109" s="164"/>
      <c r="I109" s="346" t="s">
        <v>361</v>
      </c>
      <c r="J109" s="30"/>
      <c r="K109" s="30"/>
      <c r="L109" s="30"/>
      <c r="M109" s="30"/>
      <c r="N109" s="3"/>
    </row>
    <row r="110">
      <c r="A110" s="28"/>
      <c r="B110" s="347" t="s">
        <v>362</v>
      </c>
      <c r="C110" s="30"/>
      <c r="D110" s="30"/>
      <c r="E110" s="30"/>
      <c r="F110" s="30"/>
      <c r="G110" s="3"/>
      <c r="H110" s="164"/>
      <c r="I110" s="348" t="s">
        <v>362</v>
      </c>
      <c r="J110" s="30"/>
      <c r="K110" s="30"/>
      <c r="L110" s="30"/>
      <c r="M110" s="30"/>
      <c r="N110" s="3"/>
    </row>
    <row r="111">
      <c r="A111" s="28"/>
      <c r="B111" s="349" t="s">
        <v>363</v>
      </c>
      <c r="C111" s="324"/>
      <c r="D111" s="324"/>
      <c r="E111" s="324"/>
      <c r="F111" s="324"/>
      <c r="G111" s="325"/>
      <c r="H111" s="340"/>
      <c r="I111" s="350" t="s">
        <v>363</v>
      </c>
      <c r="J111" s="324"/>
      <c r="K111" s="324"/>
      <c r="L111" s="324"/>
      <c r="M111" s="324"/>
      <c r="N111" s="325"/>
    </row>
    <row r="112">
      <c r="A112" s="28"/>
      <c r="B112" s="327"/>
      <c r="G112" s="328"/>
      <c r="H112" s="340"/>
      <c r="I112" s="327"/>
      <c r="N112" s="328"/>
    </row>
    <row r="113">
      <c r="A113" s="28"/>
      <c r="B113" s="327"/>
      <c r="G113" s="328"/>
      <c r="H113" s="340"/>
      <c r="I113" s="327"/>
      <c r="N113" s="328"/>
    </row>
    <row r="114">
      <c r="A114" s="28"/>
      <c r="B114" s="332"/>
      <c r="C114" s="333"/>
      <c r="D114" s="333"/>
      <c r="E114" s="333"/>
      <c r="F114" s="333"/>
      <c r="G114" s="334"/>
      <c r="H114" s="340"/>
      <c r="I114" s="332"/>
      <c r="J114" s="333"/>
      <c r="K114" s="333"/>
      <c r="L114" s="333"/>
      <c r="M114" s="333"/>
      <c r="N114" s="334"/>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sheetData>
  <mergeCells count="133">
    <mergeCell ref="F41:G41"/>
    <mergeCell ref="F42:G42"/>
    <mergeCell ref="F43:G43"/>
    <mergeCell ref="F44:G44"/>
    <mergeCell ref="F45:G45"/>
    <mergeCell ref="F46:G46"/>
    <mergeCell ref="F47:G47"/>
    <mergeCell ref="F48:G48"/>
    <mergeCell ref="F49:G49"/>
    <mergeCell ref="F53:G53"/>
    <mergeCell ref="F54:G54"/>
    <mergeCell ref="F56:G56"/>
    <mergeCell ref="F57:G57"/>
    <mergeCell ref="F58:G58"/>
    <mergeCell ref="F59:G59"/>
    <mergeCell ref="F60:G60"/>
    <mergeCell ref="F61:G61"/>
    <mergeCell ref="F62:G62"/>
    <mergeCell ref="F63:G63"/>
    <mergeCell ref="F64:G64"/>
    <mergeCell ref="F65:G65"/>
    <mergeCell ref="F73:G73"/>
    <mergeCell ref="F74:G74"/>
    <mergeCell ref="F75:G75"/>
    <mergeCell ref="F76:G76"/>
    <mergeCell ref="F77:G77"/>
    <mergeCell ref="F66:G66"/>
    <mergeCell ref="F67:G67"/>
    <mergeCell ref="F68:G68"/>
    <mergeCell ref="F69:G69"/>
    <mergeCell ref="F70:G70"/>
    <mergeCell ref="F71:G71"/>
    <mergeCell ref="F72:G72"/>
    <mergeCell ref="M42:N42"/>
    <mergeCell ref="M43:N43"/>
    <mergeCell ref="M44:N44"/>
    <mergeCell ref="M45:N45"/>
    <mergeCell ref="M46:N46"/>
    <mergeCell ref="M47:N47"/>
    <mergeCell ref="M48:N48"/>
    <mergeCell ref="M53:N53"/>
    <mergeCell ref="M54:N54"/>
    <mergeCell ref="M56:N56"/>
    <mergeCell ref="M57:N57"/>
    <mergeCell ref="M58:N58"/>
    <mergeCell ref="M59:N59"/>
    <mergeCell ref="M60:N60"/>
    <mergeCell ref="M61:N61"/>
    <mergeCell ref="M62:N62"/>
    <mergeCell ref="M63:N63"/>
    <mergeCell ref="M64:N64"/>
    <mergeCell ref="M65:N65"/>
    <mergeCell ref="M66:N66"/>
    <mergeCell ref="M67:N67"/>
    <mergeCell ref="M75:N75"/>
    <mergeCell ref="M76:N76"/>
    <mergeCell ref="M77:N77"/>
    <mergeCell ref="M68:N68"/>
    <mergeCell ref="M69:N69"/>
    <mergeCell ref="M70:N70"/>
    <mergeCell ref="M71:N71"/>
    <mergeCell ref="M72:N72"/>
    <mergeCell ref="M73:N73"/>
    <mergeCell ref="M74:N74"/>
    <mergeCell ref="M49:N49"/>
    <mergeCell ref="B51:N51"/>
    <mergeCell ref="B52:G52"/>
    <mergeCell ref="I52:N52"/>
    <mergeCell ref="B79:N79"/>
    <mergeCell ref="B80:N80"/>
    <mergeCell ref="M91:N91"/>
    <mergeCell ref="B91:D91"/>
    <mergeCell ref="B93:N93"/>
    <mergeCell ref="B94:G94"/>
    <mergeCell ref="I94:N94"/>
    <mergeCell ref="B95:G95"/>
    <mergeCell ref="I95:N95"/>
    <mergeCell ref="I96:N96"/>
    <mergeCell ref="I103:N103"/>
    <mergeCell ref="I104:N107"/>
    <mergeCell ref="B109:G109"/>
    <mergeCell ref="I109:N109"/>
    <mergeCell ref="B110:G110"/>
    <mergeCell ref="I110:N110"/>
    <mergeCell ref="B111:G114"/>
    <mergeCell ref="I111:N114"/>
    <mergeCell ref="B96:G96"/>
    <mergeCell ref="B97:G100"/>
    <mergeCell ref="I97:N100"/>
    <mergeCell ref="B102:G102"/>
    <mergeCell ref="I102:N102"/>
    <mergeCell ref="B103:G103"/>
    <mergeCell ref="B104:G107"/>
    <mergeCell ref="I15:N15"/>
    <mergeCell ref="M16:N16"/>
    <mergeCell ref="B2:N2"/>
    <mergeCell ref="B3:N3"/>
    <mergeCell ref="B5:C5"/>
    <mergeCell ref="D5:E5"/>
    <mergeCell ref="B14:N14"/>
    <mergeCell ref="B15:G15"/>
    <mergeCell ref="F16:G16"/>
    <mergeCell ref="F21:G21"/>
    <mergeCell ref="F22:G22"/>
    <mergeCell ref="F23:G23"/>
    <mergeCell ref="F25:G25"/>
    <mergeCell ref="F26:G26"/>
    <mergeCell ref="F27:G27"/>
    <mergeCell ref="F29:G29"/>
    <mergeCell ref="F33:G33"/>
    <mergeCell ref="F17:G17"/>
    <mergeCell ref="M17:N17"/>
    <mergeCell ref="F18:G18"/>
    <mergeCell ref="M18:N18"/>
    <mergeCell ref="F19:G19"/>
    <mergeCell ref="M19:N19"/>
    <mergeCell ref="M21:N21"/>
    <mergeCell ref="M22:N22"/>
    <mergeCell ref="M23:N23"/>
    <mergeCell ref="M25:N25"/>
    <mergeCell ref="M26:N26"/>
    <mergeCell ref="M27:N27"/>
    <mergeCell ref="M29:N29"/>
    <mergeCell ref="B31:N31"/>
    <mergeCell ref="B32:G32"/>
    <mergeCell ref="I32:N32"/>
    <mergeCell ref="M33:N33"/>
    <mergeCell ref="B39:N39"/>
    <mergeCell ref="B40:G40"/>
    <mergeCell ref="I40:N40"/>
    <mergeCell ref="M41:N41"/>
    <mergeCell ref="F91:G91"/>
    <mergeCell ref="I91:K91"/>
  </mergeCells>
  <conditionalFormatting sqref="E42:E50 L42:L50 E54:E77 L54:L77">
    <cfRule type="cellIs" dxfId="2" priority="1" operator="greaterThan">
      <formula>"100%"</formula>
    </cfRule>
  </conditionalFormatting>
  <conditionalFormatting sqref="E42:E50 L42:L50 E54:E77 L54:L77">
    <cfRule type="cellIs" dxfId="1" priority="2" operator="lessThan">
      <formula>"100%"</formula>
    </cfRule>
  </conditionalFormatting>
  <conditionalFormatting sqref="E42:E50 E54:E77">
    <cfRule type="cellIs" dxfId="3" priority="3" operator="equal">
      <formula>"100%"</formula>
    </cfRule>
  </conditionalFormatting>
  <conditionalFormatting sqref="L42:L50 L54:L77">
    <cfRule type="cellIs" dxfId="0" priority="4" operator="equal">
      <formula>"100%"</formula>
    </cfRule>
  </conditionalFormatting>
  <dataValidations>
    <dataValidation type="list" allowBlank="1" showInputMessage="1" showErrorMessage="1" prompt="Nilai Tidak Valid - Silakan pilih nilai 1–5 dari dropdown." sqref="E82:E90 L82:L90">
      <formula1>"1,2,3,4,5"</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
    <col customWidth="1" min="2" max="2" width="29.57"/>
    <col customWidth="1" min="3" max="3" width="24.0"/>
    <col customWidth="1" min="4" max="5" width="22.0"/>
    <col customWidth="1" min="6" max="6" width="18.0"/>
    <col customWidth="1" min="7" max="7" width="28.0"/>
    <col customWidth="1" min="9" max="9" width="27.29"/>
    <col customWidth="1" min="10" max="10" width="15.86"/>
    <col customWidth="1" min="11" max="11" width="20.86"/>
    <col customWidth="1" min="12" max="12" width="20.14"/>
  </cols>
  <sheetData>
    <row r="1">
      <c r="A1" s="28"/>
      <c r="B1" s="28"/>
      <c r="C1" s="28"/>
      <c r="D1" s="28"/>
      <c r="E1" s="28"/>
      <c r="F1" s="28"/>
      <c r="G1" s="28"/>
    </row>
    <row r="2">
      <c r="A2" s="351"/>
      <c r="B2" s="352" t="s">
        <v>571</v>
      </c>
      <c r="C2" s="30"/>
      <c r="D2" s="30"/>
      <c r="E2" s="30"/>
      <c r="F2" s="30"/>
      <c r="G2" s="30"/>
      <c r="H2" s="30"/>
      <c r="I2" s="30"/>
      <c r="J2" s="30"/>
      <c r="K2" s="30"/>
      <c r="L2" s="30"/>
      <c r="M2" s="30"/>
      <c r="N2" s="3"/>
      <c r="O2" s="353"/>
      <c r="P2" s="353"/>
      <c r="Q2" s="353"/>
      <c r="R2" s="353"/>
      <c r="S2" s="353"/>
      <c r="T2" s="353"/>
      <c r="U2" s="353"/>
      <c r="V2" s="353"/>
      <c r="W2" s="353"/>
      <c r="X2" s="353"/>
      <c r="Y2" s="353"/>
    </row>
    <row r="3">
      <c r="A3" s="28"/>
      <c r="B3" s="133"/>
      <c r="C3" s="30"/>
      <c r="D3" s="30"/>
      <c r="E3" s="30"/>
      <c r="F3" s="30"/>
      <c r="G3" s="30"/>
      <c r="H3" s="30"/>
      <c r="I3" s="30"/>
      <c r="J3" s="30"/>
      <c r="K3" s="30"/>
      <c r="L3" s="30"/>
      <c r="M3" s="30"/>
      <c r="N3" s="3"/>
    </row>
    <row r="4">
      <c r="A4" s="28"/>
      <c r="B4" s="28"/>
      <c r="C4" s="28"/>
      <c r="D4" s="28"/>
      <c r="E4" s="28"/>
      <c r="F4" s="28"/>
      <c r="G4" s="28"/>
    </row>
    <row r="5" ht="30.75" customHeight="1">
      <c r="A5" s="407"/>
      <c r="B5" s="408" t="s">
        <v>146</v>
      </c>
      <c r="C5" s="27"/>
      <c r="D5" s="408" t="s">
        <v>147</v>
      </c>
      <c r="E5" s="27"/>
      <c r="F5" s="407"/>
      <c r="G5" s="407"/>
      <c r="H5" s="409"/>
      <c r="I5" s="409"/>
      <c r="J5" s="409"/>
      <c r="K5" s="409"/>
      <c r="L5" s="409"/>
      <c r="M5" s="409"/>
      <c r="N5" s="409"/>
      <c r="O5" s="409"/>
      <c r="P5" s="409"/>
      <c r="Q5" s="409"/>
      <c r="R5" s="409"/>
      <c r="S5" s="409"/>
      <c r="T5" s="409"/>
      <c r="U5" s="409"/>
      <c r="V5" s="409"/>
      <c r="W5" s="409"/>
      <c r="X5" s="409"/>
      <c r="Y5" s="409"/>
    </row>
    <row r="6">
      <c r="A6" s="28"/>
      <c r="B6" s="135" t="s">
        <v>148</v>
      </c>
      <c r="C6" s="136">
        <v>28.0</v>
      </c>
      <c r="D6" s="135" t="s">
        <v>149</v>
      </c>
      <c r="E6" s="138" t="s">
        <v>365</v>
      </c>
      <c r="F6" s="28"/>
      <c r="G6" s="28"/>
    </row>
    <row r="7">
      <c r="A7" s="28"/>
      <c r="B7" s="139" t="s">
        <v>150</v>
      </c>
      <c r="C7" s="136" t="s">
        <v>151</v>
      </c>
      <c r="D7" s="139" t="s">
        <v>152</v>
      </c>
      <c r="E7" s="138" t="s">
        <v>503</v>
      </c>
      <c r="F7" s="28"/>
      <c r="G7" s="28"/>
    </row>
    <row r="8">
      <c r="A8" s="28"/>
      <c r="B8" s="135" t="s">
        <v>154</v>
      </c>
      <c r="C8" s="136">
        <v>68.0</v>
      </c>
      <c r="D8" s="135" t="s">
        <v>155</v>
      </c>
      <c r="E8" s="138" t="s">
        <v>504</v>
      </c>
      <c r="F8" s="28"/>
      <c r="G8" s="28"/>
    </row>
    <row r="9">
      <c r="A9" s="28"/>
      <c r="B9" s="139" t="s">
        <v>157</v>
      </c>
      <c r="C9" s="136">
        <v>178.0</v>
      </c>
      <c r="D9" s="139" t="s">
        <v>158</v>
      </c>
      <c r="E9" s="138" t="s">
        <v>572</v>
      </c>
      <c r="F9" s="28"/>
      <c r="G9" s="28"/>
    </row>
    <row r="10">
      <c r="A10" s="28"/>
      <c r="B10" s="135" t="s">
        <v>160</v>
      </c>
      <c r="C10" s="136" t="s">
        <v>161</v>
      </c>
      <c r="D10" s="135" t="s">
        <v>162</v>
      </c>
      <c r="E10" s="138" t="s">
        <v>506</v>
      </c>
      <c r="F10" s="28"/>
      <c r="G10" s="28"/>
    </row>
    <row r="11">
      <c r="A11" s="28"/>
      <c r="B11" s="139" t="s">
        <v>93</v>
      </c>
      <c r="C11" s="136" t="s">
        <v>573</v>
      </c>
      <c r="D11" s="139" t="s">
        <v>165</v>
      </c>
      <c r="E11" s="138" t="s">
        <v>574</v>
      </c>
      <c r="F11" s="28"/>
      <c r="G11" s="28"/>
    </row>
    <row r="12">
      <c r="A12" s="28"/>
      <c r="B12" s="141"/>
      <c r="C12" s="141"/>
      <c r="D12" s="135" t="s">
        <v>167</v>
      </c>
      <c r="E12" s="138" t="s">
        <v>168</v>
      </c>
      <c r="F12" s="28"/>
      <c r="G12" s="28"/>
    </row>
    <row r="13">
      <c r="A13" s="28"/>
      <c r="B13" s="28"/>
      <c r="C13" s="28"/>
      <c r="D13" s="28"/>
      <c r="E13" s="28"/>
      <c r="F13" s="28"/>
      <c r="G13" s="28"/>
    </row>
    <row r="14" ht="30.75" customHeight="1">
      <c r="A14" s="407"/>
      <c r="B14" s="410" t="s">
        <v>169</v>
      </c>
      <c r="C14" s="144"/>
      <c r="D14" s="144"/>
      <c r="E14" s="144"/>
      <c r="F14" s="144"/>
      <c r="G14" s="144"/>
      <c r="H14" s="144"/>
      <c r="I14" s="144"/>
      <c r="J14" s="144"/>
      <c r="K14" s="144"/>
      <c r="L14" s="144"/>
      <c r="M14" s="144"/>
      <c r="N14" s="145"/>
      <c r="O14" s="409"/>
      <c r="P14" s="409"/>
      <c r="Q14" s="409"/>
      <c r="R14" s="409"/>
      <c r="S14" s="409"/>
      <c r="T14" s="409"/>
      <c r="U14" s="409"/>
      <c r="V14" s="409"/>
      <c r="W14" s="409"/>
      <c r="X14" s="409"/>
      <c r="Y14" s="409"/>
    </row>
    <row r="15" ht="22.5" customHeight="1">
      <c r="A15" s="147"/>
      <c r="B15" s="148" t="s">
        <v>170</v>
      </c>
      <c r="C15" s="149"/>
      <c r="D15" s="149"/>
      <c r="E15" s="149"/>
      <c r="F15" s="149"/>
      <c r="G15" s="150"/>
      <c r="H15" s="151"/>
      <c r="I15" s="152" t="s">
        <v>171</v>
      </c>
      <c r="J15" s="149"/>
      <c r="K15" s="149"/>
      <c r="L15" s="149"/>
      <c r="M15" s="149"/>
      <c r="N15" s="150"/>
      <c r="O15" s="153"/>
      <c r="P15" s="153"/>
      <c r="Q15" s="153"/>
      <c r="R15" s="153"/>
      <c r="S15" s="153"/>
      <c r="T15" s="153"/>
      <c r="U15" s="153"/>
      <c r="V15" s="153"/>
      <c r="W15" s="153"/>
      <c r="X15" s="153"/>
      <c r="Y15" s="153"/>
    </row>
    <row r="16">
      <c r="A16" s="28"/>
      <c r="B16" s="154" t="s">
        <v>172</v>
      </c>
      <c r="C16" s="154" t="s">
        <v>173</v>
      </c>
      <c r="D16" s="154" t="s">
        <v>174</v>
      </c>
      <c r="E16" s="154" t="s">
        <v>175</v>
      </c>
      <c r="F16" s="155" t="s">
        <v>371</v>
      </c>
      <c r="G16" s="150"/>
      <c r="H16" s="156"/>
      <c r="I16" s="157" t="s">
        <v>172</v>
      </c>
      <c r="J16" s="157" t="s">
        <v>173</v>
      </c>
      <c r="K16" s="157" t="s">
        <v>174</v>
      </c>
      <c r="L16" s="157" t="s">
        <v>175</v>
      </c>
      <c r="M16" s="158" t="s">
        <v>371</v>
      </c>
      <c r="N16" s="150"/>
    </row>
    <row r="17">
      <c r="A17" s="28"/>
      <c r="B17" s="159" t="s">
        <v>176</v>
      </c>
      <c r="C17" s="165" t="s">
        <v>575</v>
      </c>
      <c r="D17" s="165">
        <v>314.0</v>
      </c>
      <c r="E17" s="162">
        <v>439.6</v>
      </c>
      <c r="F17" s="162" t="s">
        <v>576</v>
      </c>
      <c r="G17" s="163"/>
      <c r="H17" s="164"/>
      <c r="I17" s="159" t="s">
        <v>176</v>
      </c>
      <c r="J17" s="160" t="s">
        <v>577</v>
      </c>
      <c r="K17" s="160" t="s">
        <v>390</v>
      </c>
      <c r="L17" s="161" t="s">
        <v>471</v>
      </c>
      <c r="M17" s="162" t="s">
        <v>578</v>
      </c>
      <c r="N17" s="163"/>
    </row>
    <row r="18">
      <c r="A18" s="28"/>
      <c r="B18" s="166" t="s">
        <v>183</v>
      </c>
      <c r="C18" s="171" t="s">
        <v>579</v>
      </c>
      <c r="D18" s="171">
        <v>100.0</v>
      </c>
      <c r="E18" s="169">
        <v>316.0</v>
      </c>
      <c r="F18" s="169" t="s">
        <v>381</v>
      </c>
      <c r="G18" s="170"/>
      <c r="H18" s="164"/>
      <c r="I18" s="166" t="s">
        <v>183</v>
      </c>
      <c r="J18" s="167" t="s">
        <v>515</v>
      </c>
      <c r="K18" s="167" t="s">
        <v>516</v>
      </c>
      <c r="L18" s="168" t="s">
        <v>517</v>
      </c>
      <c r="M18" s="172"/>
      <c r="N18" s="170"/>
    </row>
    <row r="19">
      <c r="A19" s="28"/>
      <c r="B19" s="173" t="s">
        <v>190</v>
      </c>
      <c r="C19" s="171" t="s">
        <v>580</v>
      </c>
      <c r="D19" s="171">
        <v>181.0</v>
      </c>
      <c r="E19" s="169">
        <v>175.6</v>
      </c>
      <c r="F19" s="169" t="s">
        <v>581</v>
      </c>
      <c r="G19" s="170"/>
      <c r="H19" s="164"/>
      <c r="I19" s="173" t="s">
        <v>190</v>
      </c>
      <c r="J19" s="167" t="s">
        <v>382</v>
      </c>
      <c r="K19" s="167" t="s">
        <v>582</v>
      </c>
      <c r="L19" s="168" t="s">
        <v>583</v>
      </c>
      <c r="M19" s="172"/>
      <c r="N19" s="170"/>
    </row>
    <row r="20">
      <c r="A20" s="28"/>
      <c r="B20" s="174"/>
      <c r="C20" s="176"/>
      <c r="D20" s="176"/>
      <c r="E20" s="176"/>
      <c r="F20" s="176"/>
      <c r="G20" s="176"/>
      <c r="H20" s="164"/>
      <c r="I20" s="174"/>
      <c r="J20" s="175"/>
      <c r="K20" s="175"/>
      <c r="L20" s="175"/>
      <c r="M20" s="176"/>
      <c r="N20" s="176"/>
    </row>
    <row r="21">
      <c r="A21" s="28"/>
      <c r="B21" s="177" t="s">
        <v>196</v>
      </c>
      <c r="C21" s="171" t="s">
        <v>538</v>
      </c>
      <c r="D21" s="171">
        <v>150.0</v>
      </c>
      <c r="E21" s="169">
        <v>514.5</v>
      </c>
      <c r="F21" s="172"/>
      <c r="G21" s="170"/>
      <c r="H21" s="164"/>
      <c r="I21" s="177" t="s">
        <v>196</v>
      </c>
      <c r="J21" s="167" t="s">
        <v>584</v>
      </c>
      <c r="K21" s="167" t="s">
        <v>585</v>
      </c>
      <c r="L21" s="168" t="s">
        <v>586</v>
      </c>
      <c r="M21" s="169" t="s">
        <v>587</v>
      </c>
      <c r="N21" s="170"/>
    </row>
    <row r="22">
      <c r="A22" s="28"/>
      <c r="B22" s="178" t="s">
        <v>203</v>
      </c>
      <c r="C22" s="171" t="s">
        <v>588</v>
      </c>
      <c r="D22" s="171">
        <v>149.0</v>
      </c>
      <c r="E22" s="169">
        <v>180.3</v>
      </c>
      <c r="F22" s="172"/>
      <c r="G22" s="170"/>
      <c r="H22" s="164"/>
      <c r="I22" s="178" t="s">
        <v>203</v>
      </c>
      <c r="J22" s="167" t="s">
        <v>529</v>
      </c>
      <c r="K22" s="167" t="s">
        <v>589</v>
      </c>
      <c r="L22" s="168">
        <v>301.0</v>
      </c>
      <c r="M22" s="172"/>
      <c r="N22" s="170"/>
    </row>
    <row r="23">
      <c r="A23" s="28"/>
      <c r="B23" s="177" t="s">
        <v>211</v>
      </c>
      <c r="C23" s="171" t="s">
        <v>518</v>
      </c>
      <c r="D23" s="171">
        <v>149.0</v>
      </c>
      <c r="E23" s="169">
        <v>71.5</v>
      </c>
      <c r="F23" s="172"/>
      <c r="G23" s="170"/>
      <c r="H23" s="164"/>
      <c r="I23" s="177" t="s">
        <v>211</v>
      </c>
      <c r="J23" s="167" t="s">
        <v>533</v>
      </c>
      <c r="K23" s="167" t="s">
        <v>384</v>
      </c>
      <c r="L23" s="168">
        <v>102.0</v>
      </c>
      <c r="M23" s="169" t="s">
        <v>590</v>
      </c>
      <c r="N23" s="170"/>
    </row>
    <row r="24">
      <c r="A24" s="28"/>
      <c r="B24" s="174"/>
      <c r="C24" s="176"/>
      <c r="D24" s="176"/>
      <c r="E24" s="176"/>
      <c r="F24" s="176"/>
      <c r="G24" s="176"/>
      <c r="H24" s="164"/>
      <c r="I24" s="174"/>
      <c r="J24" s="175"/>
      <c r="K24" s="175"/>
      <c r="L24" s="175"/>
      <c r="M24" s="176"/>
      <c r="N24" s="176"/>
    </row>
    <row r="25">
      <c r="A25" s="28"/>
      <c r="B25" s="179" t="s">
        <v>216</v>
      </c>
      <c r="C25" s="171" t="s">
        <v>469</v>
      </c>
      <c r="D25" s="171">
        <v>134.0</v>
      </c>
      <c r="E25" s="169">
        <v>361.8</v>
      </c>
      <c r="F25" s="172"/>
      <c r="G25" s="170"/>
      <c r="H25" s="164"/>
      <c r="I25" s="179" t="s">
        <v>216</v>
      </c>
      <c r="J25" s="167" t="s">
        <v>461</v>
      </c>
      <c r="K25" s="167" t="s">
        <v>388</v>
      </c>
      <c r="L25" s="168" t="s">
        <v>591</v>
      </c>
      <c r="M25" s="172"/>
      <c r="N25" s="170"/>
    </row>
    <row r="26">
      <c r="A26" s="28"/>
      <c r="B26" s="180" t="s">
        <v>223</v>
      </c>
      <c r="C26" s="171" t="s">
        <v>204</v>
      </c>
      <c r="D26" s="171">
        <v>100.0</v>
      </c>
      <c r="E26" s="169">
        <v>365.0</v>
      </c>
      <c r="F26" s="172"/>
      <c r="G26" s="170"/>
      <c r="H26" s="164"/>
      <c r="I26" s="180" t="s">
        <v>223</v>
      </c>
      <c r="J26" s="167" t="s">
        <v>579</v>
      </c>
      <c r="K26" s="167" t="s">
        <v>592</v>
      </c>
      <c r="L26" s="168" t="s">
        <v>593</v>
      </c>
      <c r="M26" s="172"/>
      <c r="N26" s="170"/>
    </row>
    <row r="27">
      <c r="A27" s="28"/>
      <c r="B27" s="179" t="s">
        <v>229</v>
      </c>
      <c r="C27" s="171" t="s">
        <v>594</v>
      </c>
      <c r="D27" s="171">
        <v>133.0</v>
      </c>
      <c r="E27" s="169">
        <v>62.5</v>
      </c>
      <c r="F27" s="169" t="s">
        <v>595</v>
      </c>
      <c r="G27" s="170"/>
      <c r="H27" s="164"/>
      <c r="I27" s="179" t="s">
        <v>229</v>
      </c>
      <c r="J27" s="167" t="s">
        <v>230</v>
      </c>
      <c r="K27" s="167" t="s">
        <v>384</v>
      </c>
      <c r="L27" s="168">
        <v>175.0</v>
      </c>
      <c r="M27" s="172"/>
      <c r="N27" s="170"/>
    </row>
    <row r="28">
      <c r="A28" s="28"/>
      <c r="B28" s="174"/>
      <c r="C28" s="176"/>
      <c r="D28" s="176"/>
      <c r="E28" s="176"/>
      <c r="F28" s="176"/>
      <c r="G28" s="176"/>
      <c r="H28" s="164"/>
      <c r="I28" s="174"/>
      <c r="J28" s="175"/>
      <c r="K28" s="175"/>
      <c r="L28" s="175"/>
      <c r="M28" s="176"/>
      <c r="N28" s="176"/>
    </row>
    <row r="29">
      <c r="A29" s="28"/>
      <c r="B29" s="181" t="s">
        <v>234</v>
      </c>
      <c r="C29" s="171" t="s">
        <v>405</v>
      </c>
      <c r="D29" s="171">
        <v>209.0</v>
      </c>
      <c r="E29" s="169">
        <v>420.1</v>
      </c>
      <c r="F29" s="169" t="s">
        <v>596</v>
      </c>
      <c r="G29" s="170"/>
      <c r="H29" s="164"/>
      <c r="I29" s="181" t="s">
        <v>234</v>
      </c>
      <c r="J29" s="167" t="s">
        <v>597</v>
      </c>
      <c r="K29" s="167" t="s">
        <v>239</v>
      </c>
      <c r="L29" s="168" t="s">
        <v>598</v>
      </c>
      <c r="M29" s="172"/>
      <c r="N29" s="170"/>
    </row>
    <row r="30">
      <c r="A30" s="28"/>
      <c r="F30" s="28"/>
      <c r="G30" s="28"/>
    </row>
    <row r="31" ht="30.75" customHeight="1">
      <c r="A31" s="407"/>
      <c r="B31" s="411" t="s">
        <v>241</v>
      </c>
      <c r="C31" s="183"/>
      <c r="D31" s="183"/>
      <c r="E31" s="183"/>
      <c r="F31" s="183"/>
      <c r="G31" s="183"/>
      <c r="H31" s="183"/>
      <c r="I31" s="183"/>
      <c r="J31" s="183"/>
      <c r="K31" s="183"/>
      <c r="L31" s="183"/>
      <c r="M31" s="183"/>
      <c r="N31" s="184"/>
      <c r="O31" s="409"/>
      <c r="P31" s="409"/>
      <c r="Q31" s="409"/>
      <c r="R31" s="409"/>
      <c r="S31" s="409"/>
      <c r="T31" s="409"/>
      <c r="U31" s="409"/>
      <c r="V31" s="409"/>
      <c r="W31" s="409"/>
      <c r="X31" s="409"/>
      <c r="Y31" s="409"/>
    </row>
    <row r="32" ht="22.5" customHeight="1">
      <c r="A32" s="147"/>
      <c r="B32" s="237" t="s">
        <v>408</v>
      </c>
      <c r="C32" s="235"/>
      <c r="D32" s="235"/>
      <c r="E32" s="235"/>
      <c r="F32" s="235"/>
      <c r="G32" s="236"/>
      <c r="H32" s="185"/>
      <c r="I32" s="152" t="s">
        <v>242</v>
      </c>
      <c r="J32" s="149"/>
      <c r="K32" s="149"/>
      <c r="L32" s="149"/>
      <c r="M32" s="149"/>
      <c r="N32" s="150"/>
      <c r="O32" s="153"/>
      <c r="P32" s="153"/>
      <c r="Q32" s="153"/>
      <c r="R32" s="153"/>
      <c r="S32" s="153"/>
      <c r="T32" s="153"/>
      <c r="U32" s="153"/>
      <c r="V32" s="153"/>
      <c r="W32" s="153"/>
      <c r="X32" s="153"/>
      <c r="Y32" s="153"/>
    </row>
    <row r="33">
      <c r="A33" s="28"/>
      <c r="B33" s="186" t="s">
        <v>172</v>
      </c>
      <c r="C33" s="186" t="s">
        <v>175</v>
      </c>
      <c r="D33" s="186" t="s">
        <v>243</v>
      </c>
      <c r="E33" s="187" t="s">
        <v>244</v>
      </c>
      <c r="F33" s="188" t="s">
        <v>245</v>
      </c>
      <c r="G33" s="235"/>
      <c r="H33" s="190"/>
      <c r="I33" s="157" t="s">
        <v>172</v>
      </c>
      <c r="J33" s="157" t="s">
        <v>175</v>
      </c>
      <c r="K33" s="157" t="s">
        <v>243</v>
      </c>
      <c r="L33" s="157" t="s">
        <v>244</v>
      </c>
      <c r="M33" s="191" t="s">
        <v>245</v>
      </c>
      <c r="N33" s="150"/>
    </row>
    <row r="34">
      <c r="A34" s="28"/>
      <c r="B34" s="193" t="s">
        <v>246</v>
      </c>
      <c r="C34" s="194" t="s">
        <v>599</v>
      </c>
      <c r="D34" s="366" t="s">
        <v>410</v>
      </c>
      <c r="E34" s="367" t="s">
        <v>248</v>
      </c>
      <c r="F34" s="197">
        <v>0.304</v>
      </c>
      <c r="G34" s="198"/>
      <c r="H34" s="164"/>
      <c r="I34" s="199" t="s">
        <v>246</v>
      </c>
      <c r="J34" s="412">
        <v>688.1</v>
      </c>
      <c r="K34" s="381">
        <v>0.2375</v>
      </c>
      <c r="L34" s="202" t="s">
        <v>248</v>
      </c>
      <c r="M34" s="203">
        <f t="shared" ref="M34:M37" si="1">J34/sum($J$34:$J$37)</f>
        <v>0.2350630274</v>
      </c>
      <c r="N34" s="203"/>
    </row>
    <row r="35">
      <c r="A35" s="28"/>
      <c r="B35" s="204" t="s">
        <v>249</v>
      </c>
      <c r="C35" s="205" t="s">
        <v>600</v>
      </c>
      <c r="D35" s="369" t="s">
        <v>412</v>
      </c>
      <c r="E35" s="212" t="s">
        <v>248</v>
      </c>
      <c r="F35" s="208">
        <v>0.251</v>
      </c>
      <c r="G35" s="209"/>
      <c r="H35" s="164"/>
      <c r="I35" s="204" t="s">
        <v>249</v>
      </c>
      <c r="J35" s="413">
        <v>994.3</v>
      </c>
      <c r="K35" s="382">
        <v>0.3375</v>
      </c>
      <c r="L35" s="212" t="s">
        <v>248</v>
      </c>
      <c r="M35" s="213">
        <f t="shared" si="1"/>
        <v>0.3396645373</v>
      </c>
      <c r="N35" s="213"/>
    </row>
    <row r="36">
      <c r="A36" s="28"/>
      <c r="B36" s="214" t="s">
        <v>251</v>
      </c>
      <c r="C36" s="215" t="s">
        <v>601</v>
      </c>
      <c r="D36" s="370" t="s">
        <v>414</v>
      </c>
      <c r="E36" s="222" t="s">
        <v>248</v>
      </c>
      <c r="F36" s="218">
        <v>0.258</v>
      </c>
      <c r="G36" s="219"/>
      <c r="H36" s="164"/>
      <c r="I36" s="214" t="s">
        <v>251</v>
      </c>
      <c r="J36" s="414">
        <v>840.1</v>
      </c>
      <c r="K36" s="383">
        <v>0.2875</v>
      </c>
      <c r="L36" s="222" t="s">
        <v>248</v>
      </c>
      <c r="M36" s="223">
        <f t="shared" si="1"/>
        <v>0.2869880094</v>
      </c>
      <c r="N36" s="223"/>
    </row>
    <row r="37">
      <c r="A37" s="28"/>
      <c r="B37" s="224" t="s">
        <v>253</v>
      </c>
      <c r="C37" s="225" t="s">
        <v>602</v>
      </c>
      <c r="D37" s="371" t="s">
        <v>416</v>
      </c>
      <c r="E37" s="232" t="s">
        <v>248</v>
      </c>
      <c r="F37" s="228">
        <v>0.137</v>
      </c>
      <c r="G37" s="229"/>
      <c r="H37" s="164"/>
      <c r="I37" s="224" t="s">
        <v>253</v>
      </c>
      <c r="J37" s="415">
        <v>404.8</v>
      </c>
      <c r="K37" s="384">
        <v>0.1375</v>
      </c>
      <c r="L37" s="232" t="s">
        <v>248</v>
      </c>
      <c r="M37" s="233">
        <f t="shared" si="1"/>
        <v>0.1382844259</v>
      </c>
      <c r="N37" s="233"/>
    </row>
    <row r="38">
      <c r="A38" s="28"/>
      <c r="B38" s="28"/>
      <c r="C38" s="28"/>
      <c r="D38" s="28"/>
      <c r="E38" s="28"/>
      <c r="F38" s="28"/>
      <c r="G38" s="28"/>
    </row>
    <row r="39" ht="30.75" customHeight="1">
      <c r="A39" s="407"/>
      <c r="B39" s="416" t="s">
        <v>255</v>
      </c>
      <c r="C39" s="235"/>
      <c r="D39" s="235"/>
      <c r="E39" s="235"/>
      <c r="F39" s="235"/>
      <c r="G39" s="235"/>
      <c r="H39" s="235"/>
      <c r="I39" s="235"/>
      <c r="J39" s="235"/>
      <c r="K39" s="235"/>
      <c r="L39" s="235"/>
      <c r="M39" s="235"/>
      <c r="N39" s="236"/>
      <c r="O39" s="409"/>
      <c r="P39" s="409"/>
      <c r="Q39" s="409"/>
      <c r="R39" s="409"/>
      <c r="S39" s="409"/>
      <c r="T39" s="409"/>
      <c r="U39" s="409"/>
      <c r="V39" s="409"/>
      <c r="W39" s="409"/>
      <c r="X39" s="409"/>
      <c r="Y39" s="409"/>
    </row>
    <row r="40" ht="22.5" customHeight="1">
      <c r="A40" s="147"/>
      <c r="B40" s="237" t="s">
        <v>256</v>
      </c>
      <c r="C40" s="235"/>
      <c r="D40" s="235"/>
      <c r="E40" s="235"/>
      <c r="F40" s="235"/>
      <c r="G40" s="236"/>
      <c r="H40" s="185"/>
      <c r="I40" s="152" t="s">
        <v>257</v>
      </c>
      <c r="J40" s="149"/>
      <c r="K40" s="149"/>
      <c r="L40" s="149"/>
      <c r="M40" s="149"/>
      <c r="N40" s="150"/>
      <c r="O40" s="153"/>
      <c r="P40" s="153"/>
      <c r="Q40" s="153"/>
      <c r="R40" s="153"/>
      <c r="S40" s="153"/>
      <c r="T40" s="153"/>
      <c r="U40" s="153"/>
      <c r="V40" s="153"/>
      <c r="W40" s="153"/>
      <c r="X40" s="153"/>
      <c r="Y40" s="153"/>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385"/>
      <c r="B42" s="377" t="s">
        <v>262</v>
      </c>
      <c r="C42" s="243" t="s">
        <v>504</v>
      </c>
      <c r="D42" s="243">
        <v>2906.88</v>
      </c>
      <c r="E42" s="246">
        <v>1.0</v>
      </c>
      <c r="F42" s="386"/>
      <c r="G42" s="235"/>
      <c r="H42" s="387"/>
      <c r="I42" s="377" t="s">
        <v>262</v>
      </c>
      <c r="J42" s="243" t="s">
        <v>504</v>
      </c>
      <c r="K42" s="243">
        <v>2927.3</v>
      </c>
      <c r="L42" s="246">
        <v>1.0</v>
      </c>
      <c r="M42" s="386"/>
      <c r="N42" s="235"/>
      <c r="O42" s="388"/>
      <c r="P42" s="388"/>
      <c r="Q42" s="388"/>
      <c r="R42" s="388"/>
      <c r="S42" s="388"/>
      <c r="T42" s="388"/>
      <c r="U42" s="388"/>
      <c r="V42" s="388"/>
      <c r="W42" s="388"/>
      <c r="X42" s="388"/>
      <c r="Y42" s="388"/>
    </row>
    <row r="43">
      <c r="A43" s="385"/>
      <c r="B43" s="377" t="s">
        <v>158</v>
      </c>
      <c r="C43" s="243" t="s">
        <v>572</v>
      </c>
      <c r="D43" s="243">
        <v>116.64</v>
      </c>
      <c r="E43" s="246">
        <v>1.0</v>
      </c>
      <c r="F43" s="386"/>
      <c r="G43" s="235"/>
      <c r="H43" s="387"/>
      <c r="I43" s="377" t="s">
        <v>158</v>
      </c>
      <c r="J43" s="243" t="s">
        <v>572</v>
      </c>
      <c r="K43" s="243">
        <v>93.3</v>
      </c>
      <c r="L43" s="246">
        <v>0.938</v>
      </c>
      <c r="M43" s="386"/>
      <c r="N43" s="235"/>
      <c r="O43" s="388"/>
      <c r="P43" s="388"/>
      <c r="Q43" s="388"/>
      <c r="R43" s="388"/>
      <c r="S43" s="388"/>
      <c r="T43" s="388"/>
      <c r="U43" s="388"/>
      <c r="V43" s="388"/>
      <c r="W43" s="388"/>
      <c r="X43" s="388"/>
      <c r="Y43" s="388"/>
    </row>
    <row r="44">
      <c r="A44" s="385"/>
      <c r="B44" s="377" t="s">
        <v>263</v>
      </c>
      <c r="C44" s="243" t="s">
        <v>506</v>
      </c>
      <c r="D44" s="243">
        <v>92.36</v>
      </c>
      <c r="E44" s="246">
        <v>1.0</v>
      </c>
      <c r="F44" s="386"/>
      <c r="G44" s="235"/>
      <c r="H44" s="387"/>
      <c r="I44" s="377" t="s">
        <v>263</v>
      </c>
      <c r="J44" s="243" t="s">
        <v>506</v>
      </c>
      <c r="K44" s="243">
        <v>76.9</v>
      </c>
      <c r="L44" s="246">
        <v>0.905</v>
      </c>
      <c r="M44" s="386"/>
      <c r="N44" s="235"/>
      <c r="O44" s="388"/>
      <c r="P44" s="388"/>
      <c r="Q44" s="388"/>
      <c r="R44" s="388"/>
      <c r="S44" s="388"/>
      <c r="T44" s="388"/>
      <c r="U44" s="388"/>
      <c r="V44" s="388"/>
      <c r="W44" s="388"/>
      <c r="X44" s="388"/>
      <c r="Y44" s="388"/>
    </row>
    <row r="45">
      <c r="A45" s="385"/>
      <c r="B45" s="377" t="s">
        <v>264</v>
      </c>
      <c r="C45" s="243" t="s">
        <v>574</v>
      </c>
      <c r="D45" s="243">
        <v>420.3</v>
      </c>
      <c r="E45" s="246">
        <v>1.0</v>
      </c>
      <c r="F45" s="386"/>
      <c r="G45" s="235"/>
      <c r="H45" s="387"/>
      <c r="I45" s="377" t="s">
        <v>264</v>
      </c>
      <c r="J45" s="243" t="s">
        <v>574</v>
      </c>
      <c r="K45" s="243">
        <v>489.3</v>
      </c>
      <c r="L45" s="246">
        <f>K45/420.5</f>
        <v>1.163614744</v>
      </c>
      <c r="M45" s="386"/>
      <c r="N45" s="235"/>
      <c r="O45" s="388"/>
      <c r="P45" s="388"/>
      <c r="Q45" s="388"/>
      <c r="R45" s="388"/>
      <c r="S45" s="388"/>
      <c r="T45" s="388"/>
      <c r="U45" s="388"/>
      <c r="V45" s="388"/>
      <c r="W45" s="388"/>
      <c r="X45" s="388"/>
      <c r="Y45" s="388"/>
    </row>
    <row r="46">
      <c r="A46" s="385"/>
      <c r="B46" s="377" t="s">
        <v>265</v>
      </c>
      <c r="C46" s="243" t="s">
        <v>417</v>
      </c>
      <c r="D46" s="243">
        <v>1065.23</v>
      </c>
      <c r="E46" s="246">
        <v>1.0</v>
      </c>
      <c r="F46" s="386"/>
      <c r="G46" s="235"/>
      <c r="H46" s="387"/>
      <c r="I46" s="377" t="s">
        <v>265</v>
      </c>
      <c r="J46" s="243" t="s">
        <v>417</v>
      </c>
      <c r="K46" s="243">
        <v>1538.6</v>
      </c>
      <c r="L46" s="246">
        <v>1.0</v>
      </c>
      <c r="M46" s="386"/>
      <c r="N46" s="235"/>
      <c r="O46" s="388"/>
      <c r="P46" s="388"/>
      <c r="Q46" s="388"/>
      <c r="R46" s="388"/>
      <c r="S46" s="388"/>
      <c r="T46" s="388"/>
      <c r="U46" s="388"/>
      <c r="V46" s="388"/>
      <c r="W46" s="388"/>
      <c r="X46" s="388"/>
      <c r="Y46" s="388"/>
    </row>
    <row r="47">
      <c r="A47" s="385"/>
      <c r="B47" s="377" t="s">
        <v>267</v>
      </c>
      <c r="C47" s="243" t="s">
        <v>558</v>
      </c>
      <c r="D47" s="243">
        <v>33.3</v>
      </c>
      <c r="E47" s="246">
        <v>1.0</v>
      </c>
      <c r="F47" s="386"/>
      <c r="G47" s="235"/>
      <c r="H47" s="387"/>
      <c r="I47" s="377" t="s">
        <v>267</v>
      </c>
      <c r="J47" s="243" t="s">
        <v>558</v>
      </c>
      <c r="K47" s="243">
        <v>25.8</v>
      </c>
      <c r="L47" s="246">
        <v>1.0</v>
      </c>
      <c r="M47" s="386"/>
      <c r="N47" s="235"/>
      <c r="O47" s="388"/>
      <c r="P47" s="388"/>
      <c r="Q47" s="388"/>
      <c r="R47" s="388"/>
      <c r="S47" s="388"/>
      <c r="T47" s="388"/>
      <c r="U47" s="388"/>
      <c r="V47" s="388"/>
      <c r="W47" s="388"/>
      <c r="X47" s="388"/>
      <c r="Y47" s="388"/>
    </row>
    <row r="48">
      <c r="A48" s="385"/>
      <c r="B48" s="377" t="s">
        <v>269</v>
      </c>
      <c r="C48" s="243" t="s">
        <v>603</v>
      </c>
      <c r="D48" s="243">
        <v>63.03</v>
      </c>
      <c r="E48" s="246">
        <v>1.0</v>
      </c>
      <c r="F48" s="386"/>
      <c r="G48" s="235"/>
      <c r="H48" s="387"/>
      <c r="I48" s="377" t="s">
        <v>269</v>
      </c>
      <c r="J48" s="243" t="s">
        <v>603</v>
      </c>
      <c r="K48" s="243">
        <v>26.4</v>
      </c>
      <c r="L48" s="246">
        <v>1.0</v>
      </c>
      <c r="M48" s="386"/>
      <c r="N48" s="235"/>
      <c r="O48" s="388"/>
      <c r="P48" s="388"/>
      <c r="Q48" s="388"/>
      <c r="R48" s="388"/>
      <c r="S48" s="388"/>
      <c r="T48" s="388"/>
      <c r="U48" s="388"/>
      <c r="V48" s="388"/>
      <c r="W48" s="388"/>
      <c r="X48" s="388"/>
      <c r="Y48" s="388"/>
    </row>
    <row r="49">
      <c r="A49" s="385"/>
      <c r="B49" s="377" t="s">
        <v>271</v>
      </c>
      <c r="C49" s="243" t="s">
        <v>604</v>
      </c>
      <c r="D49" s="243">
        <v>15.56</v>
      </c>
      <c r="E49" s="246">
        <v>1.0</v>
      </c>
      <c r="F49" s="386"/>
      <c r="G49" s="235"/>
      <c r="H49" s="389"/>
      <c r="I49" s="377" t="s">
        <v>271</v>
      </c>
      <c r="J49" s="243" t="s">
        <v>604</v>
      </c>
      <c r="K49" s="243">
        <v>14.6</v>
      </c>
      <c r="L49" s="246">
        <v>1.0</v>
      </c>
      <c r="M49" s="386"/>
      <c r="N49" s="235"/>
      <c r="O49" s="388"/>
      <c r="P49" s="388"/>
      <c r="Q49" s="388"/>
      <c r="R49" s="388"/>
      <c r="S49" s="388"/>
      <c r="T49" s="388"/>
      <c r="U49" s="388"/>
      <c r="V49" s="388"/>
      <c r="W49" s="388"/>
      <c r="X49" s="388"/>
      <c r="Y49" s="388"/>
    </row>
    <row r="50">
      <c r="A50" s="385"/>
      <c r="B50" s="377" t="s">
        <v>559</v>
      </c>
      <c r="C50" s="243" t="s">
        <v>560</v>
      </c>
      <c r="D50" s="243">
        <v>0.1</v>
      </c>
      <c r="E50" s="246">
        <v>1.0</v>
      </c>
      <c r="F50" s="386"/>
      <c r="G50" s="235"/>
      <c r="H50" s="389"/>
      <c r="I50" s="377" t="s">
        <v>559</v>
      </c>
      <c r="J50" s="243" t="s">
        <v>560</v>
      </c>
      <c r="K50" s="243">
        <v>0.0351</v>
      </c>
      <c r="L50" s="246">
        <v>1.0</v>
      </c>
      <c r="M50" s="386"/>
      <c r="N50" s="235"/>
      <c r="O50" s="388"/>
      <c r="P50" s="388"/>
      <c r="Q50" s="388"/>
      <c r="R50" s="388"/>
      <c r="S50" s="388"/>
      <c r="T50" s="388"/>
      <c r="U50" s="388"/>
      <c r="V50" s="388"/>
      <c r="W50" s="388"/>
      <c r="X50" s="388"/>
      <c r="Y50" s="388"/>
    </row>
    <row r="51">
      <c r="A51" s="28"/>
      <c r="B51" s="28"/>
      <c r="C51" s="28"/>
      <c r="D51" s="28"/>
      <c r="E51" s="28"/>
      <c r="F51" s="28"/>
      <c r="G51" s="28"/>
    </row>
    <row r="52" ht="30.75" customHeight="1">
      <c r="A52" s="407"/>
      <c r="B52" s="416" t="s">
        <v>273</v>
      </c>
      <c r="C52" s="235"/>
      <c r="D52" s="235"/>
      <c r="E52" s="235"/>
      <c r="F52" s="235"/>
      <c r="G52" s="235"/>
      <c r="H52" s="235"/>
      <c r="I52" s="235"/>
      <c r="J52" s="235"/>
      <c r="K52" s="235"/>
      <c r="L52" s="235"/>
      <c r="M52" s="235"/>
      <c r="N52" s="236"/>
      <c r="O52" s="409"/>
      <c r="P52" s="409"/>
      <c r="Q52" s="409"/>
      <c r="R52" s="409"/>
      <c r="S52" s="409"/>
      <c r="T52" s="409"/>
      <c r="U52" s="409"/>
      <c r="V52" s="409"/>
      <c r="W52" s="409"/>
      <c r="X52" s="409"/>
      <c r="Y52" s="409"/>
    </row>
    <row r="53" ht="22.5" customHeight="1">
      <c r="A53" s="147"/>
      <c r="B53" s="237" t="s">
        <v>274</v>
      </c>
      <c r="C53" s="235"/>
      <c r="D53" s="235"/>
      <c r="E53" s="235"/>
      <c r="F53" s="235"/>
      <c r="G53" s="236"/>
      <c r="H53" s="185"/>
      <c r="I53" s="152" t="s">
        <v>275</v>
      </c>
      <c r="J53" s="149"/>
      <c r="K53" s="149"/>
      <c r="L53" s="149"/>
      <c r="M53" s="149"/>
      <c r="N53" s="150"/>
      <c r="O53" s="153"/>
      <c r="P53" s="153"/>
      <c r="Q53" s="153"/>
      <c r="R53" s="153"/>
      <c r="S53" s="153"/>
      <c r="T53" s="153"/>
      <c r="U53" s="153"/>
      <c r="V53" s="153"/>
      <c r="W53" s="153"/>
      <c r="X53" s="153"/>
      <c r="Y53" s="153"/>
    </row>
    <row r="54">
      <c r="A54" s="28"/>
      <c r="B54" s="238" t="s">
        <v>258</v>
      </c>
      <c r="C54" s="238" t="s">
        <v>276</v>
      </c>
      <c r="D54" s="238" t="s">
        <v>260</v>
      </c>
      <c r="E54" s="376" t="s">
        <v>261</v>
      </c>
      <c r="F54" s="251" t="s">
        <v>244</v>
      </c>
      <c r="G54" s="252"/>
      <c r="H54" s="190"/>
      <c r="I54" s="239" t="s">
        <v>258</v>
      </c>
      <c r="J54" s="239" t="s">
        <v>276</v>
      </c>
      <c r="K54" s="239" t="s">
        <v>260</v>
      </c>
      <c r="L54" s="240" t="s">
        <v>261</v>
      </c>
      <c r="M54" s="241"/>
      <c r="N54" s="150"/>
    </row>
    <row r="55">
      <c r="A55" s="385"/>
      <c r="B55" s="377" t="s">
        <v>277</v>
      </c>
      <c r="C55" s="243" t="s">
        <v>278</v>
      </c>
      <c r="D55" s="243">
        <v>0.15</v>
      </c>
      <c r="E55" s="246">
        <v>0.1666667</v>
      </c>
      <c r="F55" s="391"/>
      <c r="G55" s="256"/>
      <c r="H55" s="387"/>
      <c r="I55" s="377" t="s">
        <v>277</v>
      </c>
      <c r="J55" s="243" t="s">
        <v>278</v>
      </c>
      <c r="K55" s="243">
        <v>0.0834</v>
      </c>
      <c r="L55" s="246">
        <v>0.093</v>
      </c>
      <c r="M55" s="391"/>
      <c r="N55" s="256"/>
      <c r="O55" s="388"/>
      <c r="P55" s="388"/>
      <c r="Q55" s="388"/>
      <c r="R55" s="388"/>
      <c r="S55" s="388"/>
      <c r="T55" s="388"/>
      <c r="U55" s="388"/>
      <c r="V55" s="388"/>
      <c r="W55" s="388"/>
      <c r="X55" s="388"/>
      <c r="Y55" s="388"/>
    </row>
    <row r="56">
      <c r="A56" s="385"/>
      <c r="B56" s="377" t="s">
        <v>280</v>
      </c>
      <c r="C56" s="243" t="s">
        <v>281</v>
      </c>
      <c r="D56" s="243">
        <v>162.76</v>
      </c>
      <c r="E56" s="246">
        <v>1.0</v>
      </c>
      <c r="F56" s="386"/>
      <c r="G56" s="235"/>
      <c r="H56" s="387"/>
      <c r="I56" s="377" t="s">
        <v>280</v>
      </c>
      <c r="J56" s="243" t="s">
        <v>281</v>
      </c>
      <c r="K56" s="243">
        <v>23.5</v>
      </c>
      <c r="L56" s="246">
        <v>0.261</v>
      </c>
      <c r="M56" s="386"/>
      <c r="N56" s="235"/>
      <c r="O56" s="388"/>
      <c r="P56" s="388"/>
      <c r="Q56" s="388"/>
      <c r="R56" s="388"/>
      <c r="S56" s="388"/>
      <c r="T56" s="388"/>
      <c r="U56" s="388"/>
      <c r="V56" s="388"/>
      <c r="W56" s="388"/>
      <c r="X56" s="388"/>
      <c r="Y56" s="388"/>
    </row>
    <row r="57">
      <c r="A57" s="385"/>
      <c r="B57" s="377" t="s">
        <v>282</v>
      </c>
      <c r="C57" s="243" t="s">
        <v>283</v>
      </c>
      <c r="D57" s="243">
        <v>0.0</v>
      </c>
      <c r="E57" s="246">
        <v>0.0</v>
      </c>
      <c r="F57" s="386"/>
      <c r="G57" s="235"/>
      <c r="H57" s="387"/>
      <c r="I57" s="377" t="s">
        <v>282</v>
      </c>
      <c r="J57" s="243" t="s">
        <v>283</v>
      </c>
      <c r="K57" s="243">
        <v>0.0</v>
      </c>
      <c r="L57" s="246">
        <v>0.0</v>
      </c>
      <c r="M57" s="386"/>
      <c r="N57" s="235"/>
      <c r="O57" s="388"/>
      <c r="P57" s="388"/>
      <c r="Q57" s="388"/>
      <c r="R57" s="388"/>
      <c r="S57" s="388"/>
      <c r="T57" s="388"/>
      <c r="U57" s="388"/>
      <c r="V57" s="388"/>
      <c r="W57" s="388"/>
      <c r="X57" s="388"/>
      <c r="Y57" s="388"/>
    </row>
    <row r="58">
      <c r="A58" s="385"/>
      <c r="B58" s="377" t="s">
        <v>284</v>
      </c>
      <c r="C58" s="243" t="s">
        <v>285</v>
      </c>
      <c r="D58" s="243">
        <v>20.54</v>
      </c>
      <c r="E58" s="246">
        <v>1.0</v>
      </c>
      <c r="F58" s="386"/>
      <c r="G58" s="235"/>
      <c r="H58" s="387"/>
      <c r="I58" s="377" t="s">
        <v>284</v>
      </c>
      <c r="J58" s="243" t="s">
        <v>285</v>
      </c>
      <c r="K58" s="243">
        <v>5.4</v>
      </c>
      <c r="L58" s="246">
        <v>0.362</v>
      </c>
      <c r="M58" s="386"/>
      <c r="N58" s="235"/>
      <c r="O58" s="388"/>
      <c r="P58" s="388"/>
      <c r="Q58" s="388"/>
      <c r="R58" s="388"/>
      <c r="S58" s="388"/>
      <c r="T58" s="388"/>
      <c r="U58" s="388"/>
      <c r="V58" s="388"/>
      <c r="W58" s="388"/>
      <c r="X58" s="388"/>
      <c r="Y58" s="388"/>
    </row>
    <row r="59">
      <c r="A59" s="385"/>
      <c r="B59" s="377" t="s">
        <v>286</v>
      </c>
      <c r="C59" s="243">
        <v>0.1</v>
      </c>
      <c r="D59" s="243">
        <v>0.08</v>
      </c>
      <c r="E59" s="246">
        <v>0.6666667</v>
      </c>
      <c r="F59" s="386"/>
      <c r="G59" s="235"/>
      <c r="H59" s="387"/>
      <c r="I59" s="377" t="s">
        <v>286</v>
      </c>
      <c r="J59" s="243">
        <v>0.1</v>
      </c>
      <c r="K59" s="243">
        <v>0.006</v>
      </c>
      <c r="L59" s="246">
        <v>0.05</v>
      </c>
      <c r="M59" s="386"/>
      <c r="N59" s="235"/>
      <c r="O59" s="388"/>
      <c r="P59" s="388"/>
      <c r="Q59" s="388"/>
      <c r="R59" s="388"/>
      <c r="S59" s="388"/>
      <c r="T59" s="388"/>
      <c r="U59" s="388"/>
      <c r="V59" s="388"/>
      <c r="W59" s="388"/>
      <c r="X59" s="388"/>
      <c r="Y59" s="388"/>
    </row>
    <row r="60">
      <c r="A60" s="385"/>
      <c r="B60" s="377" t="s">
        <v>287</v>
      </c>
      <c r="C60" s="243">
        <v>1.2</v>
      </c>
      <c r="D60" s="243">
        <v>3.27</v>
      </c>
      <c r="E60" s="246">
        <v>1.0</v>
      </c>
      <c r="F60" s="386"/>
      <c r="G60" s="235"/>
      <c r="H60" s="387"/>
      <c r="I60" s="377" t="s">
        <v>287</v>
      </c>
      <c r="J60" s="243">
        <v>1.2</v>
      </c>
      <c r="K60" s="243">
        <v>2.6</v>
      </c>
      <c r="L60" s="246">
        <v>1.0</v>
      </c>
      <c r="M60" s="386"/>
      <c r="N60" s="235"/>
      <c r="O60" s="388"/>
      <c r="P60" s="388"/>
      <c r="Q60" s="388"/>
      <c r="R60" s="388"/>
      <c r="S60" s="388"/>
      <c r="T60" s="388"/>
      <c r="U60" s="388"/>
      <c r="V60" s="388"/>
      <c r="W60" s="388"/>
      <c r="X60" s="388"/>
      <c r="Y60" s="388"/>
    </row>
    <row r="61">
      <c r="A61" s="385"/>
      <c r="B61" s="377" t="s">
        <v>288</v>
      </c>
      <c r="C61" s="243">
        <v>1.3</v>
      </c>
      <c r="D61" s="243">
        <v>1.91</v>
      </c>
      <c r="E61" s="246">
        <v>1.0</v>
      </c>
      <c r="F61" s="386"/>
      <c r="G61" s="235"/>
      <c r="H61" s="387"/>
      <c r="I61" s="377" t="s">
        <v>288</v>
      </c>
      <c r="J61" s="243">
        <v>1.3</v>
      </c>
      <c r="K61" s="243">
        <v>2.4</v>
      </c>
      <c r="L61" s="246">
        <v>1.0</v>
      </c>
      <c r="M61" s="386"/>
      <c r="N61" s="235"/>
      <c r="O61" s="388"/>
      <c r="P61" s="388"/>
      <c r="Q61" s="388"/>
      <c r="R61" s="388"/>
      <c r="S61" s="388"/>
      <c r="T61" s="388"/>
      <c r="U61" s="388"/>
      <c r="V61" s="388"/>
      <c r="W61" s="388"/>
      <c r="X61" s="388"/>
      <c r="Y61" s="388"/>
    </row>
    <row r="62">
      <c r="A62" s="385"/>
      <c r="B62" s="377" t="s">
        <v>289</v>
      </c>
      <c r="C62" s="243" t="s">
        <v>290</v>
      </c>
      <c r="D62" s="243">
        <v>13.86</v>
      </c>
      <c r="E62" s="246">
        <v>0.86625</v>
      </c>
      <c r="F62" s="386"/>
      <c r="G62" s="235"/>
      <c r="H62" s="387"/>
      <c r="I62" s="377" t="s">
        <v>289</v>
      </c>
      <c r="J62" s="243" t="s">
        <v>290</v>
      </c>
      <c r="K62" s="243">
        <v>21.9</v>
      </c>
      <c r="L62" s="246">
        <v>1.0</v>
      </c>
      <c r="M62" s="386"/>
      <c r="N62" s="235"/>
      <c r="O62" s="388"/>
      <c r="P62" s="388"/>
      <c r="Q62" s="388"/>
      <c r="R62" s="388"/>
      <c r="S62" s="388"/>
      <c r="T62" s="388"/>
      <c r="U62" s="388"/>
      <c r="V62" s="388"/>
      <c r="W62" s="388"/>
      <c r="X62" s="388"/>
      <c r="Y62" s="388"/>
    </row>
    <row r="63">
      <c r="A63" s="385"/>
      <c r="B63" s="377" t="s">
        <v>291</v>
      </c>
      <c r="C63" s="243">
        <v>5.0</v>
      </c>
      <c r="D63" s="243">
        <v>5.02</v>
      </c>
      <c r="E63" s="246">
        <v>1.0</v>
      </c>
      <c r="F63" s="386"/>
      <c r="G63" s="235"/>
      <c r="H63" s="387"/>
      <c r="I63" s="377" t="s">
        <v>291</v>
      </c>
      <c r="J63" s="243">
        <v>5.0</v>
      </c>
      <c r="K63" s="243">
        <v>5.1</v>
      </c>
      <c r="L63" s="246">
        <v>1.0</v>
      </c>
      <c r="M63" s="386"/>
      <c r="N63" s="235"/>
      <c r="O63" s="388"/>
      <c r="P63" s="388"/>
      <c r="Q63" s="388"/>
      <c r="R63" s="388"/>
      <c r="S63" s="388"/>
      <c r="T63" s="388"/>
      <c r="U63" s="388"/>
      <c r="V63" s="388"/>
      <c r="W63" s="388"/>
      <c r="X63" s="388"/>
      <c r="Y63" s="388"/>
    </row>
    <row r="64">
      <c r="A64" s="385"/>
      <c r="B64" s="377" t="s">
        <v>292</v>
      </c>
      <c r="C64" s="243" t="s">
        <v>293</v>
      </c>
      <c r="D64" s="243">
        <v>2.83</v>
      </c>
      <c r="E64" s="246">
        <v>1.0</v>
      </c>
      <c r="F64" s="386"/>
      <c r="G64" s="235"/>
      <c r="H64" s="387"/>
      <c r="I64" s="377" t="s">
        <v>292</v>
      </c>
      <c r="J64" s="243" t="s">
        <v>293</v>
      </c>
      <c r="K64" s="243">
        <v>1.2</v>
      </c>
      <c r="L64" s="246">
        <v>0.948</v>
      </c>
      <c r="M64" s="386"/>
      <c r="N64" s="235"/>
      <c r="O64" s="388"/>
      <c r="P64" s="388"/>
      <c r="Q64" s="388"/>
      <c r="R64" s="388"/>
      <c r="S64" s="388"/>
      <c r="T64" s="388"/>
      <c r="U64" s="388"/>
      <c r="V64" s="388"/>
      <c r="W64" s="388"/>
      <c r="X64" s="388"/>
      <c r="Y64" s="388"/>
    </row>
    <row r="65">
      <c r="A65" s="385"/>
      <c r="B65" s="377" t="s">
        <v>294</v>
      </c>
      <c r="C65" s="243" t="s">
        <v>295</v>
      </c>
      <c r="D65" s="243">
        <v>1.25</v>
      </c>
      <c r="E65" s="246">
        <v>1.25</v>
      </c>
      <c r="F65" s="386"/>
      <c r="G65" s="235"/>
      <c r="H65" s="387"/>
      <c r="I65" s="377" t="s">
        <v>294</v>
      </c>
      <c r="J65" s="243" t="s">
        <v>295</v>
      </c>
      <c r="K65" s="243">
        <v>0.5</v>
      </c>
      <c r="L65" s="246">
        <v>0.915</v>
      </c>
      <c r="M65" s="386"/>
      <c r="N65" s="235"/>
      <c r="O65" s="388"/>
      <c r="P65" s="388"/>
      <c r="Q65" s="388"/>
      <c r="R65" s="388"/>
      <c r="S65" s="388"/>
      <c r="T65" s="388"/>
      <c r="U65" s="388"/>
      <c r="V65" s="388"/>
      <c r="W65" s="388"/>
      <c r="X65" s="388"/>
      <c r="Y65" s="388"/>
    </row>
    <row r="66">
      <c r="A66" s="385"/>
      <c r="B66" s="377" t="s">
        <v>296</v>
      </c>
      <c r="C66" s="243">
        <v>0.0024</v>
      </c>
      <c r="D66" s="243">
        <v>0.0</v>
      </c>
      <c r="E66" s="246">
        <v>0.0</v>
      </c>
      <c r="F66" s="386"/>
      <c r="G66" s="235"/>
      <c r="H66" s="387"/>
      <c r="I66" s="377" t="s">
        <v>296</v>
      </c>
      <c r="J66" s="243">
        <v>0.0024</v>
      </c>
      <c r="K66" s="243">
        <v>6.0E-4</v>
      </c>
      <c r="L66" s="246">
        <v>0.25</v>
      </c>
      <c r="M66" s="386"/>
      <c r="N66" s="235"/>
      <c r="O66" s="388"/>
      <c r="P66" s="388"/>
      <c r="Q66" s="388"/>
      <c r="R66" s="388"/>
      <c r="S66" s="388"/>
      <c r="T66" s="388"/>
      <c r="U66" s="388"/>
      <c r="V66" s="388"/>
      <c r="W66" s="388"/>
      <c r="X66" s="388"/>
      <c r="Y66" s="388"/>
    </row>
    <row r="67">
      <c r="A67" s="385"/>
      <c r="B67" s="377" t="s">
        <v>297</v>
      </c>
      <c r="C67" s="243" t="s">
        <v>298</v>
      </c>
      <c r="D67" s="243">
        <v>1247.54</v>
      </c>
      <c r="E67" s="246">
        <v>1.0</v>
      </c>
      <c r="F67" s="386"/>
      <c r="G67" s="235"/>
      <c r="H67" s="387"/>
      <c r="I67" s="377" t="s">
        <v>297</v>
      </c>
      <c r="J67" s="243" t="s">
        <v>298</v>
      </c>
      <c r="K67" s="243">
        <v>710.4</v>
      </c>
      <c r="L67" s="246">
        <v>0.71</v>
      </c>
      <c r="M67" s="386"/>
      <c r="N67" s="235"/>
      <c r="O67" s="388"/>
      <c r="P67" s="388"/>
      <c r="Q67" s="388"/>
      <c r="R67" s="388"/>
      <c r="S67" s="388"/>
      <c r="T67" s="388"/>
      <c r="U67" s="388"/>
      <c r="V67" s="388"/>
      <c r="W67" s="388"/>
      <c r="X67" s="388"/>
      <c r="Y67" s="388"/>
    </row>
    <row r="68">
      <c r="A68" s="385"/>
      <c r="B68" s="377" t="s">
        <v>299</v>
      </c>
      <c r="C68" s="243" t="s">
        <v>300</v>
      </c>
      <c r="D68" s="243">
        <v>29.15</v>
      </c>
      <c r="E68" s="246">
        <v>1.0</v>
      </c>
      <c r="F68" s="386"/>
      <c r="G68" s="235"/>
      <c r="H68" s="387"/>
      <c r="I68" s="377" t="s">
        <v>299</v>
      </c>
      <c r="J68" s="243" t="s">
        <v>300</v>
      </c>
      <c r="K68" s="243">
        <v>27.7</v>
      </c>
      <c r="L68" s="246">
        <v>1.0</v>
      </c>
      <c r="M68" s="386"/>
      <c r="N68" s="235"/>
      <c r="O68" s="388"/>
      <c r="P68" s="388"/>
      <c r="Q68" s="388"/>
      <c r="R68" s="388"/>
      <c r="S68" s="388"/>
      <c r="T68" s="388"/>
      <c r="U68" s="388"/>
      <c r="V68" s="388"/>
      <c r="W68" s="388"/>
      <c r="X68" s="388"/>
      <c r="Y68" s="388"/>
    </row>
    <row r="69">
      <c r="A69" s="385"/>
      <c r="B69" s="377" t="s">
        <v>301</v>
      </c>
      <c r="C69" s="243">
        <v>400.0</v>
      </c>
      <c r="D69" s="243">
        <v>732.36</v>
      </c>
      <c r="E69" s="246">
        <v>1.0</v>
      </c>
      <c r="F69" s="386"/>
      <c r="G69" s="235"/>
      <c r="H69" s="387"/>
      <c r="I69" s="377" t="s">
        <v>301</v>
      </c>
      <c r="J69" s="243">
        <v>400.0</v>
      </c>
      <c r="K69" s="243">
        <v>745.6</v>
      </c>
      <c r="L69" s="246">
        <v>1.0</v>
      </c>
      <c r="M69" s="386"/>
      <c r="N69" s="235"/>
      <c r="O69" s="388"/>
      <c r="P69" s="388"/>
      <c r="Q69" s="388"/>
      <c r="R69" s="388"/>
      <c r="S69" s="388"/>
      <c r="T69" s="388"/>
      <c r="U69" s="388"/>
      <c r="V69" s="388"/>
      <c r="W69" s="388"/>
      <c r="X69" s="388"/>
      <c r="Y69" s="388"/>
    </row>
    <row r="70">
      <c r="A70" s="385"/>
      <c r="B70" s="377" t="s">
        <v>302</v>
      </c>
      <c r="C70" s="243" t="s">
        <v>303</v>
      </c>
      <c r="D70" s="243">
        <v>2196.4</v>
      </c>
      <c r="E70" s="246">
        <v>1.0</v>
      </c>
      <c r="F70" s="386"/>
      <c r="G70" s="235"/>
      <c r="H70" s="387"/>
      <c r="I70" s="377" t="s">
        <v>302</v>
      </c>
      <c r="J70" s="243" t="s">
        <v>303</v>
      </c>
      <c r="K70" s="243">
        <v>2181.8</v>
      </c>
      <c r="L70" s="246">
        <v>1.0</v>
      </c>
      <c r="M70" s="386"/>
      <c r="N70" s="235"/>
      <c r="O70" s="388"/>
      <c r="P70" s="388"/>
      <c r="Q70" s="388"/>
      <c r="R70" s="388"/>
      <c r="S70" s="388"/>
      <c r="T70" s="388"/>
      <c r="U70" s="388"/>
      <c r="V70" s="388"/>
      <c r="W70" s="388"/>
      <c r="X70" s="388"/>
      <c r="Y70" s="388"/>
    </row>
    <row r="71">
      <c r="A71" s="385"/>
      <c r="B71" s="377" t="s">
        <v>304</v>
      </c>
      <c r="C71" s="243">
        <v>3400.0</v>
      </c>
      <c r="D71" s="243">
        <v>4663.45</v>
      </c>
      <c r="E71" s="246">
        <v>1.0</v>
      </c>
      <c r="F71" s="386"/>
      <c r="G71" s="235"/>
      <c r="H71" s="387"/>
      <c r="I71" s="377" t="s">
        <v>304</v>
      </c>
      <c r="J71" s="243">
        <v>3400.0</v>
      </c>
      <c r="K71" s="243">
        <v>3608.0</v>
      </c>
      <c r="L71" s="246">
        <v>1.0</v>
      </c>
      <c r="M71" s="386"/>
      <c r="N71" s="235"/>
      <c r="O71" s="388"/>
      <c r="P71" s="388"/>
      <c r="Q71" s="388"/>
      <c r="R71" s="388"/>
      <c r="S71" s="388"/>
      <c r="T71" s="388"/>
      <c r="U71" s="388"/>
      <c r="V71" s="388"/>
      <c r="W71" s="388"/>
      <c r="X71" s="388"/>
      <c r="Y71" s="388"/>
    </row>
    <row r="72">
      <c r="A72" s="385"/>
      <c r="B72" s="377" t="s">
        <v>305</v>
      </c>
      <c r="C72" s="243" t="s">
        <v>306</v>
      </c>
      <c r="D72" s="243">
        <v>16.24</v>
      </c>
      <c r="E72" s="246">
        <v>1.0</v>
      </c>
      <c r="F72" s="386"/>
      <c r="G72" s="235"/>
      <c r="H72" s="387"/>
      <c r="I72" s="377" t="s">
        <v>305</v>
      </c>
      <c r="J72" s="243" t="s">
        <v>306</v>
      </c>
      <c r="K72" s="243">
        <v>16.7</v>
      </c>
      <c r="L72" s="246">
        <v>1.0</v>
      </c>
      <c r="M72" s="386"/>
      <c r="N72" s="235"/>
      <c r="O72" s="388"/>
      <c r="P72" s="388"/>
      <c r="Q72" s="388"/>
      <c r="R72" s="388"/>
      <c r="S72" s="388"/>
      <c r="T72" s="388"/>
      <c r="U72" s="388"/>
      <c r="V72" s="388"/>
      <c r="W72" s="388"/>
      <c r="X72" s="388"/>
      <c r="Y72" s="388"/>
    </row>
    <row r="73">
      <c r="A73" s="385"/>
      <c r="B73" s="377" t="s">
        <v>307</v>
      </c>
      <c r="C73" s="243" t="s">
        <v>308</v>
      </c>
      <c r="D73" s="243">
        <v>3.86</v>
      </c>
      <c r="E73" s="246">
        <v>1.0</v>
      </c>
      <c r="F73" s="386"/>
      <c r="G73" s="235"/>
      <c r="H73" s="387"/>
      <c r="I73" s="377" t="s">
        <v>307</v>
      </c>
      <c r="J73" s="243" t="s">
        <v>308</v>
      </c>
      <c r="K73" s="243">
        <v>2.3</v>
      </c>
      <c r="L73" s="246">
        <v>1.0</v>
      </c>
      <c r="M73" s="386"/>
      <c r="N73" s="235"/>
      <c r="O73" s="388"/>
      <c r="P73" s="388"/>
      <c r="Q73" s="388"/>
      <c r="R73" s="388"/>
      <c r="S73" s="388"/>
      <c r="T73" s="388"/>
      <c r="U73" s="388"/>
      <c r="V73" s="388"/>
      <c r="W73" s="388"/>
      <c r="X73" s="388"/>
      <c r="Y73" s="388"/>
    </row>
    <row r="74">
      <c r="A74" s="385"/>
      <c r="B74" s="377" t="s">
        <v>309</v>
      </c>
      <c r="C74" s="243" t="s">
        <v>310</v>
      </c>
      <c r="D74" s="243">
        <v>11.03</v>
      </c>
      <c r="E74" s="246">
        <v>1.0027273</v>
      </c>
      <c r="F74" s="386"/>
      <c r="G74" s="235"/>
      <c r="H74" s="387"/>
      <c r="I74" s="377" t="s">
        <v>309</v>
      </c>
      <c r="J74" s="243" t="s">
        <v>310</v>
      </c>
      <c r="K74" s="243">
        <v>14.5</v>
      </c>
      <c r="L74" s="246">
        <f>K74/11</f>
        <v>1.318181818</v>
      </c>
      <c r="M74" s="386"/>
      <c r="N74" s="235"/>
      <c r="O74" s="388"/>
      <c r="P74" s="388"/>
      <c r="Q74" s="388"/>
      <c r="R74" s="388"/>
      <c r="S74" s="388"/>
      <c r="T74" s="388"/>
      <c r="U74" s="388"/>
      <c r="V74" s="388"/>
      <c r="W74" s="388"/>
      <c r="X74" s="388"/>
      <c r="Y74" s="388"/>
    </row>
    <row r="75">
      <c r="A75" s="385"/>
      <c r="B75" s="377" t="s">
        <v>311</v>
      </c>
      <c r="C75" s="243" t="s">
        <v>312</v>
      </c>
      <c r="D75" s="243">
        <v>0.12</v>
      </c>
      <c r="E75" s="246">
        <v>1.0</v>
      </c>
      <c r="F75" s="386"/>
      <c r="G75" s="235"/>
      <c r="H75" s="387"/>
      <c r="I75" s="377" t="s">
        <v>311</v>
      </c>
      <c r="J75" s="243" t="s">
        <v>312</v>
      </c>
      <c r="K75" s="243">
        <v>0.1</v>
      </c>
      <c r="L75" s="246">
        <v>1.0</v>
      </c>
      <c r="M75" s="386"/>
      <c r="N75" s="235"/>
      <c r="O75" s="388"/>
      <c r="P75" s="388"/>
      <c r="Q75" s="388"/>
      <c r="R75" s="388"/>
      <c r="S75" s="388"/>
      <c r="T75" s="388"/>
      <c r="U75" s="388"/>
      <c r="V75" s="388"/>
      <c r="W75" s="388"/>
      <c r="X75" s="388"/>
      <c r="Y75" s="388"/>
    </row>
    <row r="76">
      <c r="A76" s="385"/>
      <c r="B76" s="377" t="s">
        <v>167</v>
      </c>
      <c r="C76" s="243">
        <v>3700.0</v>
      </c>
      <c r="D76" s="243">
        <v>971.14</v>
      </c>
      <c r="E76" s="246">
        <v>0.2624703</v>
      </c>
      <c r="F76" s="386"/>
      <c r="G76" s="235"/>
      <c r="H76" s="387"/>
      <c r="I76" s="377" t="s">
        <v>167</v>
      </c>
      <c r="J76" s="243">
        <v>3700.0</v>
      </c>
      <c r="K76" s="243">
        <v>399.6</v>
      </c>
      <c r="L76" s="246">
        <v>0.108</v>
      </c>
      <c r="M76" s="386"/>
      <c r="N76" s="235"/>
      <c r="O76" s="388"/>
      <c r="P76" s="388"/>
      <c r="Q76" s="388"/>
      <c r="R76" s="388"/>
      <c r="S76" s="388"/>
      <c r="T76" s="388"/>
      <c r="U76" s="388"/>
      <c r="V76" s="388"/>
      <c r="W76" s="388"/>
      <c r="X76" s="388"/>
      <c r="Y76" s="388"/>
    </row>
    <row r="77">
      <c r="A77" s="385"/>
      <c r="B77" s="377" t="s">
        <v>313</v>
      </c>
      <c r="C77" s="243">
        <v>38.0</v>
      </c>
      <c r="D77" s="243">
        <v>53.67</v>
      </c>
      <c r="E77" s="246">
        <v>1.0</v>
      </c>
      <c r="F77" s="386"/>
      <c r="G77" s="235"/>
      <c r="H77" s="387"/>
      <c r="I77" s="377" t="s">
        <v>313</v>
      </c>
      <c r="J77" s="243">
        <v>38.0</v>
      </c>
      <c r="K77" s="243">
        <v>121.3</v>
      </c>
      <c r="L77" s="246">
        <v>1.0</v>
      </c>
      <c r="M77" s="386"/>
      <c r="N77" s="235"/>
      <c r="O77" s="388"/>
      <c r="P77" s="388"/>
      <c r="Q77" s="388"/>
      <c r="R77" s="388"/>
      <c r="S77" s="388"/>
      <c r="T77" s="388"/>
      <c r="U77" s="388"/>
      <c r="V77" s="388"/>
      <c r="W77" s="388"/>
      <c r="X77" s="388"/>
      <c r="Y77" s="388"/>
    </row>
    <row r="78">
      <c r="A78" s="28"/>
    </row>
    <row r="79" ht="30.75" customHeight="1">
      <c r="A79" s="407"/>
      <c r="B79" s="417" t="s">
        <v>314</v>
      </c>
      <c r="C79" s="262"/>
      <c r="D79" s="262"/>
      <c r="E79" s="262"/>
      <c r="F79" s="262"/>
      <c r="G79" s="262"/>
      <c r="H79" s="262"/>
      <c r="I79" s="262"/>
      <c r="J79" s="262"/>
      <c r="K79" s="262"/>
      <c r="L79" s="262"/>
      <c r="M79" s="262"/>
      <c r="N79" s="263"/>
      <c r="O79" s="409"/>
      <c r="P79" s="409"/>
      <c r="Q79" s="409"/>
      <c r="R79" s="409"/>
      <c r="S79" s="409"/>
      <c r="T79" s="409"/>
      <c r="U79" s="409"/>
      <c r="V79" s="409"/>
      <c r="W79" s="409"/>
      <c r="X79" s="409"/>
      <c r="Y79" s="409"/>
    </row>
    <row r="80">
      <c r="A80" s="28"/>
      <c r="B80" s="264" t="s">
        <v>315</v>
      </c>
      <c r="C80" s="262"/>
      <c r="D80" s="262"/>
      <c r="E80" s="262"/>
      <c r="F80" s="262"/>
      <c r="G80" s="262"/>
      <c r="H80" s="262"/>
      <c r="I80" s="262"/>
      <c r="J80" s="262"/>
      <c r="K80" s="262"/>
      <c r="L80" s="262"/>
      <c r="M80" s="262"/>
      <c r="N80" s="263"/>
    </row>
    <row r="81">
      <c r="A81" s="28"/>
      <c r="B81" s="265" t="s">
        <v>316</v>
      </c>
      <c r="C81" s="266" t="s">
        <v>317</v>
      </c>
      <c r="D81" s="266" t="s">
        <v>318</v>
      </c>
      <c r="E81" s="267" t="s">
        <v>319</v>
      </c>
      <c r="F81" s="268" t="s">
        <v>320</v>
      </c>
      <c r="G81" s="269" t="s">
        <v>321</v>
      </c>
      <c r="H81" s="164"/>
      <c r="I81" s="270" t="s">
        <v>316</v>
      </c>
      <c r="J81" s="271" t="s">
        <v>317</v>
      </c>
      <c r="K81" s="271" t="s">
        <v>318</v>
      </c>
      <c r="L81" s="272" t="s">
        <v>319</v>
      </c>
      <c r="M81" s="273" t="s">
        <v>322</v>
      </c>
      <c r="N81" s="274" t="s">
        <v>323</v>
      </c>
    </row>
    <row r="82">
      <c r="A82" s="28"/>
      <c r="B82" s="275" t="s">
        <v>94</v>
      </c>
      <c r="C82" s="276" t="s">
        <v>324</v>
      </c>
      <c r="D82" s="277" t="s">
        <v>325</v>
      </c>
      <c r="E82" s="278">
        <v>3.0</v>
      </c>
      <c r="F82" s="279" t="str">
        <f t="shared" ref="F82:F90" si="2">IF(ISBLANK(E82),"— Belum diisi",IF(E82=1,"Sangat Tidak Sesuai",IF(E82=2,"Tidak Sesuai",IF(E82=3,"Cukup Sesuai",IF(E82=4,"Sesuai",IF(E82=5,"Sangat Sesuai","—"))))))</f>
        <v>Cukup Sesuai</v>
      </c>
      <c r="G82" s="280" t="s">
        <v>605</v>
      </c>
      <c r="H82" s="164"/>
      <c r="I82" s="281" t="s">
        <v>94</v>
      </c>
      <c r="J82" s="282" t="s">
        <v>324</v>
      </c>
      <c r="K82" s="283" t="s">
        <v>325</v>
      </c>
      <c r="L82" s="171">
        <v>3.0</v>
      </c>
      <c r="M82" s="285" t="str">
        <f t="shared" ref="M82:M90" si="3">IF(ISBLANK(L82),"— Belum diisi",IF(L82=1,"Sangat Tidak Sesuai",IF(L82=2,"Tidak Sesuai",IF(L82=3,"Cukup Sesuai",IF(L82=4,"Sesuai",IF(L82=5,"Sangat Sesuai","—"))))))</f>
        <v>Cukup Sesuai</v>
      </c>
      <c r="N82" s="280" t="s">
        <v>605</v>
      </c>
    </row>
    <row r="83">
      <c r="A83" s="28"/>
      <c r="B83" s="275" t="s">
        <v>95</v>
      </c>
      <c r="C83" s="286" t="s">
        <v>327</v>
      </c>
      <c r="D83" s="287" t="s">
        <v>328</v>
      </c>
      <c r="E83" s="278">
        <v>3.0</v>
      </c>
      <c r="F83" s="288" t="str">
        <f t="shared" si="2"/>
        <v>Cukup Sesuai</v>
      </c>
      <c r="G83" s="280" t="s">
        <v>563</v>
      </c>
      <c r="H83" s="164"/>
      <c r="I83" s="281" t="s">
        <v>95</v>
      </c>
      <c r="J83" s="286" t="s">
        <v>327</v>
      </c>
      <c r="K83" s="287" t="s">
        <v>328</v>
      </c>
      <c r="L83" s="171">
        <v>3.0</v>
      </c>
      <c r="M83" s="288" t="str">
        <f t="shared" si="3"/>
        <v>Cukup Sesuai</v>
      </c>
      <c r="N83" s="280" t="s">
        <v>563</v>
      </c>
    </row>
    <row r="84">
      <c r="A84" s="28"/>
      <c r="B84" s="275" t="s">
        <v>96</v>
      </c>
      <c r="C84" s="276" t="s">
        <v>330</v>
      </c>
      <c r="D84" s="277" t="s">
        <v>331</v>
      </c>
      <c r="E84" s="278">
        <v>4.0</v>
      </c>
      <c r="F84" s="279" t="str">
        <f t="shared" si="2"/>
        <v>Sesuai</v>
      </c>
      <c r="G84" s="297"/>
      <c r="H84" s="164"/>
      <c r="I84" s="281" t="s">
        <v>96</v>
      </c>
      <c r="J84" s="282" t="s">
        <v>330</v>
      </c>
      <c r="K84" s="289" t="s">
        <v>331</v>
      </c>
      <c r="L84" s="171">
        <v>3.0</v>
      </c>
      <c r="M84" s="290" t="str">
        <f t="shared" si="3"/>
        <v>Cukup Sesuai</v>
      </c>
      <c r="N84" s="280" t="s">
        <v>606</v>
      </c>
    </row>
    <row r="85">
      <c r="A85" s="28"/>
      <c r="B85" s="275" t="s">
        <v>97</v>
      </c>
      <c r="C85" s="286" t="s">
        <v>334</v>
      </c>
      <c r="D85" s="287" t="s">
        <v>335</v>
      </c>
      <c r="E85" s="278">
        <v>4.0</v>
      </c>
      <c r="F85" s="288" t="str">
        <f t="shared" si="2"/>
        <v>Sesuai</v>
      </c>
      <c r="G85" s="280" t="s">
        <v>607</v>
      </c>
      <c r="H85" s="164"/>
      <c r="I85" s="281" t="s">
        <v>97</v>
      </c>
      <c r="J85" s="286" t="s">
        <v>334</v>
      </c>
      <c r="K85" s="287" t="s">
        <v>335</v>
      </c>
      <c r="L85" s="171">
        <v>4.0</v>
      </c>
      <c r="M85" s="288" t="str">
        <f t="shared" si="3"/>
        <v>Sesuai</v>
      </c>
      <c r="N85" s="280" t="s">
        <v>607</v>
      </c>
    </row>
    <row r="86">
      <c r="A86" s="28"/>
      <c r="B86" s="275" t="s">
        <v>98</v>
      </c>
      <c r="C86" s="276" t="s">
        <v>336</v>
      </c>
      <c r="D86" s="277" t="s">
        <v>337</v>
      </c>
      <c r="E86" s="278">
        <v>4.0</v>
      </c>
      <c r="F86" s="279" t="str">
        <f t="shared" si="2"/>
        <v>Sesuai</v>
      </c>
      <c r="G86" s="297"/>
      <c r="H86" s="164"/>
      <c r="I86" s="281" t="s">
        <v>98</v>
      </c>
      <c r="J86" s="282" t="s">
        <v>336</v>
      </c>
      <c r="K86" s="289" t="s">
        <v>337</v>
      </c>
      <c r="L86" s="171">
        <v>3.0</v>
      </c>
      <c r="M86" s="290" t="str">
        <f t="shared" si="3"/>
        <v>Cukup Sesuai</v>
      </c>
      <c r="N86" s="280" t="s">
        <v>608</v>
      </c>
    </row>
    <row r="87">
      <c r="A87" s="28"/>
      <c r="B87" s="291" t="s">
        <v>99</v>
      </c>
      <c r="C87" s="286" t="s">
        <v>339</v>
      </c>
      <c r="D87" s="287" t="s">
        <v>340</v>
      </c>
      <c r="E87" s="278">
        <v>4.0</v>
      </c>
      <c r="F87" s="288" t="str">
        <f t="shared" si="2"/>
        <v>Sesuai</v>
      </c>
      <c r="G87" s="297"/>
      <c r="H87" s="164"/>
      <c r="I87" s="292" t="s">
        <v>99</v>
      </c>
      <c r="J87" s="286" t="s">
        <v>339</v>
      </c>
      <c r="K87" s="287" t="s">
        <v>340</v>
      </c>
      <c r="L87" s="171">
        <v>3.0</v>
      </c>
      <c r="M87" s="288" t="str">
        <f t="shared" si="3"/>
        <v>Cukup Sesuai</v>
      </c>
      <c r="N87" s="280" t="s">
        <v>609</v>
      </c>
    </row>
    <row r="88">
      <c r="A88" s="28"/>
      <c r="B88" s="293" t="s">
        <v>100</v>
      </c>
      <c r="C88" s="276" t="s">
        <v>343</v>
      </c>
      <c r="D88" s="277" t="s">
        <v>344</v>
      </c>
      <c r="E88" s="278">
        <v>3.0</v>
      </c>
      <c r="F88" s="279" t="str">
        <f t="shared" si="2"/>
        <v>Cukup Sesuai</v>
      </c>
      <c r="G88" s="278" t="s">
        <v>610</v>
      </c>
      <c r="H88" s="164"/>
      <c r="I88" s="294" t="s">
        <v>100</v>
      </c>
      <c r="J88" s="282" t="s">
        <v>343</v>
      </c>
      <c r="K88" s="289" t="s">
        <v>344</v>
      </c>
      <c r="L88" s="171">
        <v>3.0</v>
      </c>
      <c r="M88" s="290" t="str">
        <f t="shared" si="3"/>
        <v>Cukup Sesuai</v>
      </c>
      <c r="N88" s="280" t="s">
        <v>610</v>
      </c>
    </row>
    <row r="89">
      <c r="A89" s="28"/>
      <c r="B89" s="295" t="s">
        <v>101</v>
      </c>
      <c r="C89" s="286" t="s">
        <v>346</v>
      </c>
      <c r="D89" s="287" t="s">
        <v>347</v>
      </c>
      <c r="E89" s="278">
        <v>3.0</v>
      </c>
      <c r="F89" s="288" t="str">
        <f t="shared" si="2"/>
        <v>Cukup Sesuai</v>
      </c>
      <c r="G89" s="280" t="s">
        <v>611</v>
      </c>
      <c r="H89" s="164"/>
      <c r="I89" s="296" t="s">
        <v>101</v>
      </c>
      <c r="J89" s="286" t="s">
        <v>346</v>
      </c>
      <c r="K89" s="287" t="s">
        <v>347</v>
      </c>
      <c r="L89" s="171">
        <v>4.0</v>
      </c>
      <c r="M89" s="288" t="str">
        <f t="shared" si="3"/>
        <v>Sesuai</v>
      </c>
      <c r="N89" s="297"/>
    </row>
    <row r="90">
      <c r="A90" s="28"/>
      <c r="B90" s="298" t="s">
        <v>102</v>
      </c>
      <c r="C90" s="276" t="s">
        <v>349</v>
      </c>
      <c r="D90" s="277" t="s">
        <v>350</v>
      </c>
      <c r="E90" s="278">
        <v>4.0</v>
      </c>
      <c r="F90" s="279" t="str">
        <f t="shared" si="2"/>
        <v>Sesuai</v>
      </c>
      <c r="G90" s="297"/>
      <c r="H90" s="164"/>
      <c r="I90" s="299" t="s">
        <v>102</v>
      </c>
      <c r="J90" s="282" t="s">
        <v>349</v>
      </c>
      <c r="K90" s="289" t="s">
        <v>350</v>
      </c>
      <c r="L90" s="171">
        <v>4.0</v>
      </c>
      <c r="M90" s="290" t="str">
        <f t="shared" si="3"/>
        <v>Sesuai</v>
      </c>
      <c r="N90" s="297"/>
    </row>
    <row r="91" ht="21.0" customHeight="1">
      <c r="A91" s="141"/>
      <c r="B91" s="300" t="s">
        <v>351</v>
      </c>
      <c r="C91" s="301"/>
      <c r="D91" s="27"/>
      <c r="E91" s="302">
        <f>IFERROR(AVERAGE(E82,E83,E84,E85,E86,E87,E88,E89,E90),"—")</f>
        <v>3.555555556</v>
      </c>
      <c r="F91" s="303" t="str">
        <f>IF(ISNUMBER(E91),IF(E91&lt;2,"Sangat Tidak Sesuai",IF(E91&lt;3,"Tidak Sesuai",IF(E91&lt;4,"Cukup Sesuai",IF(E91&lt;4.6,"Sesuai","Sangat Sesuai")))),"—")</f>
        <v>Cukup Sesuai</v>
      </c>
      <c r="G91" s="3"/>
      <c r="H91" s="418"/>
      <c r="I91" s="304" t="s">
        <v>351</v>
      </c>
      <c r="J91" s="301"/>
      <c r="K91" s="27"/>
      <c r="L91" s="294">
        <f>IFERROR(AVERAGE(L82,L83,L84,L85,L86,L87,L88,L89,L90),"—")</f>
        <v>3.333333333</v>
      </c>
      <c r="M91" s="305" t="str">
        <f>IF(ISNUMBER(L91),IF(L91&lt;2,"Sangat Tidak Sesuai",IF(L91&lt;3,"Tidak Sesuai",IF(L91&lt;4,"Cukup Sesuai",IF(L91&lt;4.6,"Sesuai","Sangat Sesuai")))),"—")</f>
        <v>Cukup Sesuai</v>
      </c>
      <c r="N91" s="3"/>
      <c r="O91" s="419"/>
      <c r="P91" s="419"/>
      <c r="Q91" s="419"/>
      <c r="R91" s="419"/>
      <c r="S91" s="419"/>
      <c r="T91" s="419"/>
      <c r="U91" s="419"/>
      <c r="V91" s="419"/>
      <c r="W91" s="419"/>
      <c r="X91" s="419"/>
      <c r="Y91" s="419"/>
    </row>
    <row r="92">
      <c r="A92" s="28"/>
      <c r="B92" s="306"/>
    </row>
    <row r="93" ht="30.75" customHeight="1">
      <c r="A93" s="407"/>
      <c r="B93" s="420" t="s">
        <v>352</v>
      </c>
      <c r="C93" s="170"/>
      <c r="D93" s="170"/>
      <c r="E93" s="170"/>
      <c r="F93" s="170"/>
      <c r="G93" s="170"/>
      <c r="H93" s="170"/>
      <c r="I93" s="170"/>
      <c r="J93" s="170"/>
      <c r="K93" s="170"/>
      <c r="L93" s="170"/>
      <c r="M93" s="170"/>
      <c r="N93" s="308"/>
      <c r="O93" s="409"/>
      <c r="P93" s="409"/>
      <c r="Q93" s="409"/>
      <c r="R93" s="409"/>
      <c r="S93" s="409"/>
      <c r="T93" s="409"/>
      <c r="U93" s="409"/>
      <c r="V93" s="409"/>
      <c r="W93" s="409"/>
      <c r="X93" s="409"/>
      <c r="Y93" s="409"/>
    </row>
    <row r="94" ht="22.5" customHeight="1">
      <c r="A94" s="147"/>
      <c r="B94" s="309" t="s">
        <v>353</v>
      </c>
      <c r="C94" s="310"/>
      <c r="D94" s="310"/>
      <c r="E94" s="310"/>
      <c r="F94" s="310"/>
      <c r="G94" s="311"/>
      <c r="H94" s="312"/>
      <c r="I94" s="313" t="s">
        <v>354</v>
      </c>
      <c r="J94" s="30"/>
      <c r="K94" s="30"/>
      <c r="L94" s="30"/>
      <c r="M94" s="30"/>
      <c r="N94" s="3"/>
      <c r="O94" s="153"/>
      <c r="P94" s="153"/>
      <c r="Q94" s="153"/>
      <c r="R94" s="153"/>
      <c r="S94" s="153"/>
      <c r="T94" s="153"/>
      <c r="U94" s="153"/>
      <c r="V94" s="153"/>
      <c r="W94" s="153"/>
      <c r="X94" s="153"/>
      <c r="Y94" s="153"/>
    </row>
    <row r="95">
      <c r="A95" s="28"/>
      <c r="B95" s="314" t="s">
        <v>355</v>
      </c>
      <c r="C95" s="315"/>
      <c r="D95" s="315"/>
      <c r="E95" s="315"/>
      <c r="F95" s="315"/>
      <c r="G95" s="316"/>
      <c r="H95" s="260"/>
      <c r="I95" s="317" t="s">
        <v>355</v>
      </c>
      <c r="J95" s="30"/>
      <c r="K95" s="30"/>
      <c r="L95" s="30"/>
      <c r="M95" s="30"/>
      <c r="N95" s="3"/>
    </row>
    <row r="96">
      <c r="A96" s="28"/>
      <c r="B96" s="318" t="s">
        <v>356</v>
      </c>
      <c r="H96" s="260"/>
      <c r="I96" s="319" t="s">
        <v>356</v>
      </c>
      <c r="J96" s="30"/>
      <c r="K96" s="30"/>
      <c r="L96" s="30"/>
      <c r="M96" s="30"/>
      <c r="N96" s="3"/>
    </row>
    <row r="97">
      <c r="A97" s="28"/>
      <c r="B97" s="320" t="s">
        <v>612</v>
      </c>
      <c r="G97" s="321"/>
      <c r="H97" s="322"/>
      <c r="I97" s="323" t="s">
        <v>612</v>
      </c>
      <c r="J97" s="324"/>
      <c r="K97" s="324"/>
      <c r="L97" s="324"/>
      <c r="M97" s="324"/>
      <c r="N97" s="325"/>
    </row>
    <row r="98">
      <c r="A98" s="28"/>
      <c r="B98" s="326"/>
      <c r="G98" s="321"/>
      <c r="H98" s="322"/>
      <c r="I98" s="327"/>
      <c r="N98" s="328"/>
    </row>
    <row r="99">
      <c r="A99" s="28"/>
      <c r="B99" s="326"/>
      <c r="G99" s="321"/>
      <c r="H99" s="322"/>
      <c r="I99" s="327"/>
      <c r="N99" s="328"/>
    </row>
    <row r="100">
      <c r="A100" s="28"/>
      <c r="B100" s="329"/>
      <c r="C100" s="330"/>
      <c r="D100" s="330"/>
      <c r="E100" s="330"/>
      <c r="F100" s="330"/>
      <c r="G100" s="331"/>
      <c r="H100" s="322"/>
      <c r="I100" s="332"/>
      <c r="J100" s="333"/>
      <c r="K100" s="333"/>
      <c r="L100" s="333"/>
      <c r="M100" s="333"/>
      <c r="N100" s="334"/>
    </row>
    <row r="101">
      <c r="A101" s="28"/>
      <c r="B101" s="28"/>
      <c r="C101" s="28"/>
      <c r="D101" s="28"/>
      <c r="E101" s="28"/>
      <c r="F101" s="28"/>
      <c r="G101" s="28"/>
    </row>
    <row r="102">
      <c r="A102" s="28"/>
      <c r="B102" s="335" t="s">
        <v>358</v>
      </c>
      <c r="C102" s="144"/>
      <c r="D102" s="144"/>
      <c r="E102" s="144"/>
      <c r="F102" s="144"/>
      <c r="G102" s="145"/>
      <c r="H102" s="164"/>
      <c r="I102" s="336" t="s">
        <v>358</v>
      </c>
      <c r="J102" s="30"/>
      <c r="K102" s="30"/>
      <c r="L102" s="30"/>
      <c r="M102" s="30"/>
      <c r="N102" s="3"/>
    </row>
    <row r="103">
      <c r="A103" s="28"/>
      <c r="B103" s="337" t="s">
        <v>359</v>
      </c>
      <c r="H103" s="260"/>
      <c r="I103" s="338" t="s">
        <v>359</v>
      </c>
      <c r="J103" s="30"/>
      <c r="K103" s="30"/>
      <c r="L103" s="30"/>
      <c r="M103" s="30"/>
      <c r="N103" s="3"/>
    </row>
    <row r="104">
      <c r="A104" s="28"/>
      <c r="B104" s="339" t="s">
        <v>613</v>
      </c>
      <c r="G104" s="328"/>
      <c r="H104" s="340"/>
      <c r="I104" s="341" t="s">
        <v>613</v>
      </c>
      <c r="J104" s="324"/>
      <c r="K104" s="324"/>
      <c r="L104" s="324"/>
      <c r="M104" s="324"/>
      <c r="N104" s="325"/>
    </row>
    <row r="105">
      <c r="A105" s="28"/>
      <c r="B105" s="342"/>
      <c r="G105" s="328"/>
      <c r="H105" s="340"/>
      <c r="I105" s="327"/>
      <c r="N105" s="328"/>
    </row>
    <row r="106">
      <c r="A106" s="28"/>
      <c r="B106" s="342"/>
      <c r="G106" s="328"/>
      <c r="H106" s="340"/>
      <c r="I106" s="327"/>
      <c r="N106" s="328"/>
    </row>
    <row r="107">
      <c r="A107" s="28"/>
      <c r="B107" s="343"/>
      <c r="C107" s="163"/>
      <c r="D107" s="163"/>
      <c r="E107" s="163"/>
      <c r="F107" s="163"/>
      <c r="G107" s="344"/>
      <c r="H107" s="340"/>
      <c r="I107" s="332"/>
      <c r="J107" s="333"/>
      <c r="K107" s="333"/>
      <c r="L107" s="333"/>
      <c r="M107" s="333"/>
      <c r="N107" s="334"/>
    </row>
    <row r="108">
      <c r="A108" s="28"/>
    </row>
    <row r="109">
      <c r="A109" s="28"/>
      <c r="B109" s="345" t="s">
        <v>361</v>
      </c>
      <c r="C109" s="30"/>
      <c r="D109" s="30"/>
      <c r="E109" s="30"/>
      <c r="F109" s="30"/>
      <c r="G109" s="3"/>
      <c r="H109" s="164"/>
      <c r="I109" s="346" t="s">
        <v>361</v>
      </c>
      <c r="J109" s="30"/>
      <c r="K109" s="30"/>
      <c r="L109" s="30"/>
      <c r="M109" s="30"/>
      <c r="N109" s="3"/>
    </row>
    <row r="110">
      <c r="A110" s="28"/>
      <c r="B110" s="347" t="s">
        <v>362</v>
      </c>
      <c r="C110" s="30"/>
      <c r="D110" s="30"/>
      <c r="E110" s="30"/>
      <c r="F110" s="30"/>
      <c r="G110" s="3"/>
      <c r="H110" s="164"/>
      <c r="I110" s="348" t="s">
        <v>362</v>
      </c>
      <c r="J110" s="30"/>
      <c r="K110" s="30"/>
      <c r="L110" s="30"/>
      <c r="M110" s="30"/>
      <c r="N110" s="3"/>
    </row>
    <row r="111">
      <c r="A111" s="28"/>
      <c r="B111" s="349" t="s">
        <v>363</v>
      </c>
      <c r="C111" s="324"/>
      <c r="D111" s="324"/>
      <c r="E111" s="324"/>
      <c r="F111" s="324"/>
      <c r="G111" s="325"/>
      <c r="H111" s="340"/>
      <c r="I111" s="350" t="s">
        <v>363</v>
      </c>
      <c r="J111" s="324"/>
      <c r="K111" s="324"/>
      <c r="L111" s="324"/>
      <c r="M111" s="324"/>
      <c r="N111" s="325"/>
    </row>
    <row r="112">
      <c r="A112" s="28"/>
      <c r="B112" s="327"/>
      <c r="G112" s="328"/>
      <c r="H112" s="340"/>
      <c r="I112" s="327"/>
      <c r="N112" s="328"/>
    </row>
    <row r="113">
      <c r="A113" s="28"/>
      <c r="B113" s="327"/>
      <c r="G113" s="328"/>
      <c r="H113" s="340"/>
      <c r="I113" s="327"/>
      <c r="N113" s="328"/>
    </row>
    <row r="114">
      <c r="A114" s="28"/>
      <c r="B114" s="332"/>
      <c r="C114" s="333"/>
      <c r="D114" s="333"/>
      <c r="E114" s="333"/>
      <c r="F114" s="333"/>
      <c r="G114" s="334"/>
      <c r="H114" s="340"/>
      <c r="I114" s="332"/>
      <c r="J114" s="333"/>
      <c r="K114" s="333"/>
      <c r="L114" s="333"/>
      <c r="M114" s="333"/>
      <c r="N114" s="334"/>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sheetData>
  <mergeCells count="135">
    <mergeCell ref="F41:G41"/>
    <mergeCell ref="F42:G42"/>
    <mergeCell ref="F43:G43"/>
    <mergeCell ref="F44:G44"/>
    <mergeCell ref="F45:G45"/>
    <mergeCell ref="F46:G46"/>
    <mergeCell ref="F47:G47"/>
    <mergeCell ref="F48:G48"/>
    <mergeCell ref="F49:G49"/>
    <mergeCell ref="F50:G50"/>
    <mergeCell ref="F54:G54"/>
    <mergeCell ref="F55:G55"/>
    <mergeCell ref="F56:G56"/>
    <mergeCell ref="F57:G57"/>
    <mergeCell ref="F58:G58"/>
    <mergeCell ref="F59:G59"/>
    <mergeCell ref="F60:G60"/>
    <mergeCell ref="F61:G61"/>
    <mergeCell ref="F62:G62"/>
    <mergeCell ref="F63:G63"/>
    <mergeCell ref="F64:G64"/>
    <mergeCell ref="F72:G72"/>
    <mergeCell ref="F73:G73"/>
    <mergeCell ref="F74:G74"/>
    <mergeCell ref="F75:G75"/>
    <mergeCell ref="F76:G76"/>
    <mergeCell ref="F77:G77"/>
    <mergeCell ref="F65:G65"/>
    <mergeCell ref="F66:G66"/>
    <mergeCell ref="F67:G67"/>
    <mergeCell ref="F68:G68"/>
    <mergeCell ref="F69:G69"/>
    <mergeCell ref="F70:G70"/>
    <mergeCell ref="F71:G71"/>
    <mergeCell ref="M42:N42"/>
    <mergeCell ref="M43:N43"/>
    <mergeCell ref="M44:N44"/>
    <mergeCell ref="M45:N45"/>
    <mergeCell ref="M46:N46"/>
    <mergeCell ref="M47:N47"/>
    <mergeCell ref="M48:N48"/>
    <mergeCell ref="M54:N54"/>
    <mergeCell ref="M55:N55"/>
    <mergeCell ref="M56:N56"/>
    <mergeCell ref="M57:N57"/>
    <mergeCell ref="M58:N58"/>
    <mergeCell ref="M59:N59"/>
    <mergeCell ref="M60:N60"/>
    <mergeCell ref="M61:N61"/>
    <mergeCell ref="M62:N62"/>
    <mergeCell ref="M63:N63"/>
    <mergeCell ref="M64:N64"/>
    <mergeCell ref="M65:N65"/>
    <mergeCell ref="M66:N66"/>
    <mergeCell ref="M67:N67"/>
    <mergeCell ref="M75:N75"/>
    <mergeCell ref="M76:N76"/>
    <mergeCell ref="M77:N77"/>
    <mergeCell ref="M68:N68"/>
    <mergeCell ref="M69:N69"/>
    <mergeCell ref="M70:N70"/>
    <mergeCell ref="M71:N71"/>
    <mergeCell ref="M72:N72"/>
    <mergeCell ref="M73:N73"/>
    <mergeCell ref="M74:N74"/>
    <mergeCell ref="I94:N94"/>
    <mergeCell ref="I95:N95"/>
    <mergeCell ref="B91:D91"/>
    <mergeCell ref="F91:G91"/>
    <mergeCell ref="I91:K91"/>
    <mergeCell ref="M91:N91"/>
    <mergeCell ref="B93:N93"/>
    <mergeCell ref="B94:G94"/>
    <mergeCell ref="B95:G95"/>
    <mergeCell ref="B96:G96"/>
    <mergeCell ref="I96:N96"/>
    <mergeCell ref="B97:G100"/>
    <mergeCell ref="I97:N100"/>
    <mergeCell ref="B102:G102"/>
    <mergeCell ref="I102:N102"/>
    <mergeCell ref="I103:N103"/>
    <mergeCell ref="I110:N110"/>
    <mergeCell ref="I111:N114"/>
    <mergeCell ref="B103:G103"/>
    <mergeCell ref="B104:G107"/>
    <mergeCell ref="I104:N107"/>
    <mergeCell ref="B109:G109"/>
    <mergeCell ref="I109:N109"/>
    <mergeCell ref="B110:G110"/>
    <mergeCell ref="B111:G114"/>
    <mergeCell ref="I15:N15"/>
    <mergeCell ref="M16:N16"/>
    <mergeCell ref="B2:N2"/>
    <mergeCell ref="B3:N3"/>
    <mergeCell ref="B5:C5"/>
    <mergeCell ref="D5:E5"/>
    <mergeCell ref="B14:N14"/>
    <mergeCell ref="B15:G15"/>
    <mergeCell ref="F16:G16"/>
    <mergeCell ref="F21:G21"/>
    <mergeCell ref="F22:G22"/>
    <mergeCell ref="F23:G23"/>
    <mergeCell ref="F25:G25"/>
    <mergeCell ref="F26:G26"/>
    <mergeCell ref="F27:G27"/>
    <mergeCell ref="F29:G29"/>
    <mergeCell ref="F33:G33"/>
    <mergeCell ref="F17:G17"/>
    <mergeCell ref="M17:N17"/>
    <mergeCell ref="F18:G18"/>
    <mergeCell ref="M18:N18"/>
    <mergeCell ref="F19:G19"/>
    <mergeCell ref="M19:N19"/>
    <mergeCell ref="M21:N21"/>
    <mergeCell ref="M22:N22"/>
    <mergeCell ref="M23:N23"/>
    <mergeCell ref="M25:N25"/>
    <mergeCell ref="M26:N26"/>
    <mergeCell ref="M27:N27"/>
    <mergeCell ref="M29:N29"/>
    <mergeCell ref="B31:N31"/>
    <mergeCell ref="B32:G32"/>
    <mergeCell ref="I32:N32"/>
    <mergeCell ref="M33:N33"/>
    <mergeCell ref="B39:N39"/>
    <mergeCell ref="B40:G40"/>
    <mergeCell ref="I40:N40"/>
    <mergeCell ref="M41:N41"/>
    <mergeCell ref="M49:N49"/>
    <mergeCell ref="M50:N50"/>
    <mergeCell ref="B52:N52"/>
    <mergeCell ref="B53:G53"/>
    <mergeCell ref="I53:N53"/>
    <mergeCell ref="B79:N79"/>
    <mergeCell ref="B80:N80"/>
  </mergeCells>
  <conditionalFormatting sqref="E42:E50 E55:E77 L42:L50 L55:L77">
    <cfRule type="cellIs" dxfId="2" priority="1" operator="greaterThan">
      <formula>"100%"</formula>
    </cfRule>
  </conditionalFormatting>
  <conditionalFormatting sqref="E42:E50 E55:E77 L42:L50 L55:L77">
    <cfRule type="cellIs" dxfId="1" priority="2" operator="lessThan">
      <formula>"100%"</formula>
    </cfRule>
  </conditionalFormatting>
  <conditionalFormatting sqref="E55:E77 E42:E50">
    <cfRule type="cellIs" dxfId="3" priority="3" operator="equal">
      <formula>"100%"</formula>
    </cfRule>
  </conditionalFormatting>
  <conditionalFormatting sqref="L42:L50 L55:L77">
    <cfRule type="cellIs" dxfId="0" priority="4" operator="equal">
      <formula>"100%"</formula>
    </cfRule>
  </conditionalFormatting>
  <dataValidations>
    <dataValidation type="list" allowBlank="1" showInputMessage="1" showErrorMessage="1" prompt="Nilai Tidak Valid - Silakan pilih nilai 1–5 dari dropdown." sqref="E82:E90 L82:L90">
      <formula1>"1,2,3,4,5"</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
    <col customWidth="1" min="2" max="2" width="26.0"/>
    <col customWidth="1" min="3" max="3" width="24.0"/>
    <col customWidth="1" min="4" max="5" width="22.0"/>
    <col customWidth="1" min="6" max="6" width="18.0"/>
    <col customWidth="1" min="7" max="7" width="28.0"/>
    <col customWidth="1" min="9" max="9" width="26.71"/>
    <col customWidth="1" min="10" max="10" width="15.86"/>
    <col customWidth="1" min="11" max="11" width="35.71"/>
    <col customWidth="1" min="12" max="12" width="18.57"/>
    <col customWidth="1" min="14" max="14" width="19.43"/>
  </cols>
  <sheetData>
    <row r="1">
      <c r="A1" s="28"/>
      <c r="B1" s="28"/>
      <c r="C1" s="28"/>
      <c r="D1" s="28"/>
      <c r="E1" s="28"/>
      <c r="F1" s="28"/>
      <c r="G1" s="28"/>
    </row>
    <row r="2" ht="22.5" customHeight="1">
      <c r="A2" s="142"/>
      <c r="B2" s="421" t="s">
        <v>614</v>
      </c>
      <c r="C2" s="30"/>
      <c r="D2" s="30"/>
      <c r="E2" s="30"/>
      <c r="F2" s="30"/>
      <c r="G2" s="30"/>
      <c r="H2" s="30"/>
      <c r="I2" s="30"/>
      <c r="J2" s="30"/>
      <c r="K2" s="30"/>
      <c r="L2" s="30"/>
      <c r="M2" s="30"/>
      <c r="N2" s="3"/>
      <c r="O2" s="146"/>
      <c r="P2" s="146"/>
      <c r="Q2" s="146"/>
      <c r="R2" s="146"/>
      <c r="S2" s="146"/>
      <c r="T2" s="146"/>
      <c r="U2" s="146"/>
      <c r="V2" s="146"/>
      <c r="W2" s="146"/>
      <c r="X2" s="146"/>
      <c r="Y2" s="146"/>
    </row>
    <row r="3">
      <c r="A3" s="28"/>
      <c r="B3" s="133"/>
      <c r="C3" s="30"/>
      <c r="D3" s="30"/>
      <c r="E3" s="30"/>
      <c r="F3" s="30"/>
      <c r="G3" s="30"/>
      <c r="H3" s="30"/>
      <c r="I3" s="30"/>
      <c r="J3" s="30"/>
      <c r="K3" s="30"/>
      <c r="L3" s="30"/>
      <c r="M3" s="30"/>
      <c r="N3" s="3"/>
    </row>
    <row r="4">
      <c r="A4" s="28"/>
      <c r="B4" s="28"/>
      <c r="C4" s="28"/>
      <c r="D4" s="28"/>
      <c r="E4" s="28"/>
      <c r="F4" s="28"/>
      <c r="G4" s="28"/>
    </row>
    <row r="5" ht="22.5" customHeight="1">
      <c r="A5" s="142"/>
      <c r="B5" s="134" t="s">
        <v>146</v>
      </c>
      <c r="C5" s="27"/>
      <c r="D5" s="134" t="s">
        <v>147</v>
      </c>
      <c r="E5" s="27"/>
      <c r="F5" s="142"/>
      <c r="G5" s="142"/>
      <c r="H5" s="146"/>
      <c r="I5" s="146"/>
      <c r="J5" s="146"/>
      <c r="K5" s="146"/>
      <c r="L5" s="146"/>
      <c r="M5" s="146"/>
      <c r="N5" s="146"/>
      <c r="O5" s="146"/>
      <c r="P5" s="146"/>
      <c r="Q5" s="146"/>
      <c r="R5" s="146"/>
      <c r="S5" s="146"/>
      <c r="T5" s="146"/>
      <c r="U5" s="146"/>
      <c r="V5" s="146"/>
      <c r="W5" s="146"/>
      <c r="X5" s="146"/>
      <c r="Y5" s="146"/>
    </row>
    <row r="6">
      <c r="A6" s="28"/>
      <c r="B6" s="135" t="s">
        <v>148</v>
      </c>
      <c r="C6" s="136">
        <v>28.0</v>
      </c>
      <c r="D6" s="135" t="s">
        <v>149</v>
      </c>
      <c r="E6" s="138" t="s">
        <v>365</v>
      </c>
      <c r="F6" s="28"/>
      <c r="G6" s="28"/>
    </row>
    <row r="7">
      <c r="A7" s="28"/>
      <c r="B7" s="139" t="s">
        <v>150</v>
      </c>
      <c r="C7" s="136" t="s">
        <v>151</v>
      </c>
      <c r="D7" s="139" t="s">
        <v>152</v>
      </c>
      <c r="E7" s="138">
        <v>2499.0</v>
      </c>
      <c r="F7" s="28"/>
      <c r="G7" s="28"/>
    </row>
    <row r="8">
      <c r="A8" s="28"/>
      <c r="B8" s="135" t="s">
        <v>154</v>
      </c>
      <c r="C8" s="136">
        <v>68.0</v>
      </c>
      <c r="D8" s="135" t="s">
        <v>155</v>
      </c>
      <c r="E8" s="138" t="s">
        <v>615</v>
      </c>
      <c r="F8" s="28"/>
      <c r="G8" s="28"/>
    </row>
    <row r="9">
      <c r="A9" s="28"/>
      <c r="B9" s="139" t="s">
        <v>157</v>
      </c>
      <c r="C9" s="136">
        <v>178.0</v>
      </c>
      <c r="D9" s="139" t="s">
        <v>158</v>
      </c>
      <c r="E9" s="138" t="s">
        <v>616</v>
      </c>
      <c r="F9" s="28"/>
      <c r="G9" s="28"/>
    </row>
    <row r="10">
      <c r="A10" s="28"/>
      <c r="B10" s="135" t="s">
        <v>160</v>
      </c>
      <c r="C10" s="136" t="s">
        <v>161</v>
      </c>
      <c r="D10" s="135" t="s">
        <v>162</v>
      </c>
      <c r="E10" s="138" t="s">
        <v>617</v>
      </c>
      <c r="F10" s="28"/>
      <c r="G10" s="28"/>
    </row>
    <row r="11">
      <c r="A11" s="28"/>
      <c r="B11" s="139" t="s">
        <v>93</v>
      </c>
      <c r="C11" s="136" t="s">
        <v>618</v>
      </c>
      <c r="D11" s="139" t="s">
        <v>165</v>
      </c>
      <c r="E11" s="138" t="s">
        <v>619</v>
      </c>
      <c r="F11" s="28"/>
      <c r="G11" s="28"/>
    </row>
    <row r="12">
      <c r="A12" s="28"/>
      <c r="B12" s="141"/>
      <c r="C12" s="141"/>
      <c r="D12" s="135" t="s">
        <v>167</v>
      </c>
      <c r="E12" s="138" t="s">
        <v>168</v>
      </c>
      <c r="F12" s="28"/>
      <c r="G12" s="28"/>
    </row>
    <row r="13">
      <c r="A13" s="28"/>
      <c r="B13" s="28"/>
      <c r="C13" s="28"/>
      <c r="D13" s="28"/>
      <c r="E13" s="28"/>
      <c r="F13" s="28"/>
      <c r="G13" s="28"/>
    </row>
    <row r="14" ht="22.5" customHeight="1">
      <c r="A14" s="142"/>
      <c r="B14" s="143" t="s">
        <v>169</v>
      </c>
      <c r="C14" s="144"/>
      <c r="D14" s="144"/>
      <c r="E14" s="144"/>
      <c r="F14" s="144"/>
      <c r="G14" s="144"/>
      <c r="H14" s="144"/>
      <c r="I14" s="144"/>
      <c r="J14" s="144"/>
      <c r="K14" s="144"/>
      <c r="L14" s="144"/>
      <c r="M14" s="144"/>
      <c r="N14" s="145"/>
      <c r="O14" s="146"/>
      <c r="P14" s="146"/>
      <c r="Q14" s="146"/>
      <c r="R14" s="146"/>
      <c r="S14" s="146"/>
      <c r="T14" s="146"/>
      <c r="U14" s="146"/>
      <c r="V14" s="146"/>
      <c r="W14" s="146"/>
      <c r="X14" s="146"/>
      <c r="Y14" s="146"/>
    </row>
    <row r="15" ht="25.5" customHeight="1">
      <c r="A15" s="147"/>
      <c r="B15" s="148" t="s">
        <v>170</v>
      </c>
      <c r="C15" s="149"/>
      <c r="D15" s="149"/>
      <c r="E15" s="149"/>
      <c r="F15" s="149"/>
      <c r="G15" s="150"/>
      <c r="H15" s="151"/>
      <c r="I15" s="152" t="s">
        <v>171</v>
      </c>
      <c r="J15" s="149"/>
      <c r="K15" s="149"/>
      <c r="L15" s="149"/>
      <c r="M15" s="149"/>
      <c r="N15" s="150"/>
      <c r="O15" s="153"/>
      <c r="P15" s="153"/>
      <c r="Q15" s="153"/>
      <c r="R15" s="153"/>
      <c r="S15" s="153"/>
      <c r="T15" s="153"/>
      <c r="U15" s="153"/>
      <c r="V15" s="153"/>
      <c r="W15" s="153"/>
      <c r="X15" s="153"/>
      <c r="Y15" s="153"/>
    </row>
    <row r="16">
      <c r="A16" s="28"/>
      <c r="B16" s="154" t="s">
        <v>172</v>
      </c>
      <c r="C16" s="154" t="s">
        <v>173</v>
      </c>
      <c r="D16" s="154" t="s">
        <v>174</v>
      </c>
      <c r="E16" s="154" t="s">
        <v>175</v>
      </c>
      <c r="F16" s="155" t="s">
        <v>371</v>
      </c>
      <c r="G16" s="150"/>
      <c r="H16" s="156"/>
      <c r="I16" s="157" t="s">
        <v>172</v>
      </c>
      <c r="J16" s="157" t="s">
        <v>173</v>
      </c>
      <c r="K16" s="157" t="s">
        <v>174</v>
      </c>
      <c r="L16" s="157" t="s">
        <v>175</v>
      </c>
      <c r="M16" s="158" t="s">
        <v>371</v>
      </c>
      <c r="N16" s="150"/>
    </row>
    <row r="17">
      <c r="A17" s="28"/>
      <c r="B17" s="159" t="s">
        <v>176</v>
      </c>
      <c r="C17" s="160" t="s">
        <v>620</v>
      </c>
      <c r="D17" s="160">
        <v>125.0</v>
      </c>
      <c r="E17" s="161">
        <v>358.8</v>
      </c>
      <c r="F17" s="354"/>
      <c r="G17" s="163"/>
      <c r="H17" s="164"/>
      <c r="I17" s="159" t="s">
        <v>176</v>
      </c>
      <c r="J17" s="160" t="s">
        <v>621</v>
      </c>
      <c r="K17" s="160" t="s">
        <v>622</v>
      </c>
      <c r="L17" s="161" t="s">
        <v>623</v>
      </c>
      <c r="M17" s="354"/>
      <c r="N17" s="163"/>
    </row>
    <row r="18">
      <c r="A18" s="28"/>
      <c r="B18" s="166" t="s">
        <v>183</v>
      </c>
      <c r="C18" s="167" t="s">
        <v>624</v>
      </c>
      <c r="D18" s="167">
        <v>124.0</v>
      </c>
      <c r="E18" s="168">
        <v>27.3</v>
      </c>
      <c r="F18" s="169" t="s">
        <v>625</v>
      </c>
      <c r="G18" s="170"/>
      <c r="H18" s="164"/>
      <c r="I18" s="166" t="s">
        <v>183</v>
      </c>
      <c r="J18" s="167" t="s">
        <v>224</v>
      </c>
      <c r="K18" s="167" t="s">
        <v>626</v>
      </c>
      <c r="L18" s="168" t="s">
        <v>627</v>
      </c>
      <c r="M18" s="169" t="s">
        <v>628</v>
      </c>
      <c r="N18" s="170"/>
    </row>
    <row r="19">
      <c r="A19" s="28"/>
      <c r="B19" s="173" t="s">
        <v>190</v>
      </c>
      <c r="C19" s="167" t="s">
        <v>629</v>
      </c>
      <c r="D19" s="167">
        <v>124.0</v>
      </c>
      <c r="E19" s="168">
        <v>57.0</v>
      </c>
      <c r="F19" s="172"/>
      <c r="G19" s="170"/>
      <c r="H19" s="164"/>
      <c r="I19" s="173" t="s">
        <v>190</v>
      </c>
      <c r="J19" s="167" t="s">
        <v>630</v>
      </c>
      <c r="K19" s="167" t="s">
        <v>384</v>
      </c>
      <c r="L19" s="168" t="s">
        <v>631</v>
      </c>
      <c r="M19" s="172"/>
      <c r="N19" s="170"/>
    </row>
    <row r="20">
      <c r="A20" s="28"/>
      <c r="B20" s="174"/>
      <c r="C20" s="175"/>
      <c r="D20" s="175"/>
      <c r="E20" s="175"/>
      <c r="F20" s="176"/>
      <c r="G20" s="176"/>
      <c r="H20" s="164"/>
      <c r="I20" s="174"/>
      <c r="J20" s="175"/>
      <c r="K20" s="175"/>
      <c r="L20" s="175"/>
      <c r="M20" s="176"/>
      <c r="N20" s="176"/>
    </row>
    <row r="21">
      <c r="A21" s="28"/>
      <c r="B21" s="177" t="s">
        <v>196</v>
      </c>
      <c r="C21" s="167" t="s">
        <v>632</v>
      </c>
      <c r="D21" s="167">
        <v>146.0</v>
      </c>
      <c r="E21" s="168">
        <v>421.9</v>
      </c>
      <c r="F21" s="172"/>
      <c r="G21" s="170"/>
      <c r="H21" s="164"/>
      <c r="I21" s="177" t="s">
        <v>196</v>
      </c>
      <c r="J21" s="167" t="s">
        <v>538</v>
      </c>
      <c r="K21" s="167" t="s">
        <v>633</v>
      </c>
      <c r="L21" s="168" t="s">
        <v>634</v>
      </c>
      <c r="M21" s="169" t="s">
        <v>635</v>
      </c>
      <c r="N21" s="170"/>
    </row>
    <row r="22">
      <c r="A22" s="28"/>
      <c r="B22" s="178" t="s">
        <v>203</v>
      </c>
      <c r="C22" s="167" t="s">
        <v>543</v>
      </c>
      <c r="D22" s="167">
        <v>100.0</v>
      </c>
      <c r="E22" s="168">
        <v>327.0</v>
      </c>
      <c r="F22" s="169" t="s">
        <v>628</v>
      </c>
      <c r="G22" s="170"/>
      <c r="H22" s="164"/>
      <c r="I22" s="178" t="s">
        <v>203</v>
      </c>
      <c r="J22" s="167" t="s">
        <v>636</v>
      </c>
      <c r="K22" s="167" t="s">
        <v>188</v>
      </c>
      <c r="L22" s="168" t="s">
        <v>637</v>
      </c>
      <c r="M22" s="172"/>
      <c r="N22" s="170"/>
    </row>
    <row r="23">
      <c r="A23" s="28"/>
      <c r="B23" s="177" t="s">
        <v>211</v>
      </c>
      <c r="C23" s="167" t="s">
        <v>638</v>
      </c>
      <c r="D23" s="167">
        <v>100.0</v>
      </c>
      <c r="E23" s="168">
        <v>197.0</v>
      </c>
      <c r="F23" s="172"/>
      <c r="G23" s="170"/>
      <c r="H23" s="164"/>
      <c r="I23" s="177" t="s">
        <v>211</v>
      </c>
      <c r="J23" s="167" t="s">
        <v>382</v>
      </c>
      <c r="K23" s="167" t="s">
        <v>639</v>
      </c>
      <c r="L23" s="168" t="s">
        <v>640</v>
      </c>
      <c r="M23" s="172"/>
      <c r="N23" s="170"/>
    </row>
    <row r="24">
      <c r="A24" s="28"/>
      <c r="B24" s="174"/>
      <c r="C24" s="175"/>
      <c r="D24" s="175"/>
      <c r="E24" s="175"/>
      <c r="F24" s="176"/>
      <c r="G24" s="176"/>
      <c r="H24" s="164"/>
      <c r="I24" s="174"/>
      <c r="J24" s="175"/>
      <c r="K24" s="175"/>
      <c r="L24" s="175"/>
      <c r="M24" s="176"/>
      <c r="N24" s="176"/>
    </row>
    <row r="25">
      <c r="A25" s="28"/>
      <c r="B25" s="179" t="s">
        <v>216</v>
      </c>
      <c r="C25" s="167" t="s">
        <v>641</v>
      </c>
      <c r="D25" s="167">
        <v>239.0</v>
      </c>
      <c r="E25" s="168">
        <v>296.4</v>
      </c>
      <c r="F25" s="169" t="s">
        <v>386</v>
      </c>
      <c r="G25" s="170"/>
      <c r="H25" s="164"/>
      <c r="I25" s="179" t="s">
        <v>216</v>
      </c>
      <c r="J25" s="167" t="s">
        <v>642</v>
      </c>
      <c r="K25" s="167" t="s">
        <v>530</v>
      </c>
      <c r="L25" s="168" t="s">
        <v>643</v>
      </c>
      <c r="M25" s="169" t="s">
        <v>644</v>
      </c>
      <c r="N25" s="170"/>
    </row>
    <row r="26">
      <c r="A26" s="28"/>
      <c r="B26" s="180" t="s">
        <v>223</v>
      </c>
      <c r="C26" s="167" t="s">
        <v>645</v>
      </c>
      <c r="D26" s="167">
        <v>100.0</v>
      </c>
      <c r="E26" s="168">
        <v>242.0</v>
      </c>
      <c r="F26" s="169" t="s">
        <v>646</v>
      </c>
      <c r="G26" s="170"/>
      <c r="H26" s="164"/>
      <c r="I26" s="180" t="s">
        <v>223</v>
      </c>
      <c r="J26" s="167" t="s">
        <v>647</v>
      </c>
      <c r="K26" s="167" t="s">
        <v>544</v>
      </c>
      <c r="L26" s="168" t="s">
        <v>648</v>
      </c>
      <c r="M26" s="172"/>
      <c r="N26" s="170"/>
    </row>
    <row r="27">
      <c r="A27" s="28"/>
      <c r="B27" s="179" t="s">
        <v>229</v>
      </c>
      <c r="C27" s="167" t="s">
        <v>649</v>
      </c>
      <c r="D27" s="167">
        <v>238.0</v>
      </c>
      <c r="E27" s="168">
        <v>35.7</v>
      </c>
      <c r="F27" s="169" t="s">
        <v>650</v>
      </c>
      <c r="G27" s="170"/>
      <c r="H27" s="164"/>
      <c r="I27" s="179" t="s">
        <v>229</v>
      </c>
      <c r="J27" s="167" t="s">
        <v>382</v>
      </c>
      <c r="K27" s="167" t="s">
        <v>651</v>
      </c>
      <c r="L27" s="168">
        <v>102.0</v>
      </c>
      <c r="M27" s="172"/>
      <c r="N27" s="170"/>
    </row>
    <row r="28">
      <c r="A28" s="28"/>
      <c r="B28" s="174"/>
      <c r="C28" s="175"/>
      <c r="D28" s="175"/>
      <c r="E28" s="175"/>
      <c r="F28" s="176"/>
      <c r="G28" s="176"/>
      <c r="H28" s="164"/>
      <c r="I28" s="174"/>
      <c r="J28" s="175"/>
      <c r="K28" s="175"/>
      <c r="L28" s="175"/>
      <c r="M28" s="176"/>
      <c r="N28" s="176"/>
    </row>
    <row r="29">
      <c r="A29" s="28"/>
      <c r="B29" s="181" t="s">
        <v>234</v>
      </c>
      <c r="C29" s="167" t="s">
        <v>652</v>
      </c>
      <c r="D29" s="167">
        <v>175.0</v>
      </c>
      <c r="E29" s="168">
        <v>343.0</v>
      </c>
      <c r="F29" s="169" t="s">
        <v>653</v>
      </c>
      <c r="G29" s="170"/>
      <c r="H29" s="164"/>
      <c r="I29" s="181" t="s">
        <v>234</v>
      </c>
      <c r="J29" s="167" t="s">
        <v>654</v>
      </c>
      <c r="K29" s="167" t="s">
        <v>239</v>
      </c>
      <c r="L29" s="168" t="s">
        <v>655</v>
      </c>
      <c r="M29" s="172"/>
      <c r="N29" s="170"/>
    </row>
    <row r="30">
      <c r="A30" s="28"/>
      <c r="F30" s="28"/>
      <c r="G30" s="28"/>
    </row>
    <row r="31" ht="22.5" customHeight="1">
      <c r="A31" s="142"/>
      <c r="B31" s="182" t="s">
        <v>241</v>
      </c>
      <c r="C31" s="183"/>
      <c r="D31" s="183"/>
      <c r="E31" s="183"/>
      <c r="F31" s="183"/>
      <c r="G31" s="183"/>
      <c r="H31" s="183"/>
      <c r="I31" s="183"/>
      <c r="J31" s="183"/>
      <c r="K31" s="183"/>
      <c r="L31" s="183"/>
      <c r="M31" s="183"/>
      <c r="N31" s="184"/>
      <c r="O31" s="146"/>
      <c r="P31" s="146"/>
      <c r="Q31" s="146"/>
      <c r="R31" s="146"/>
      <c r="S31" s="146"/>
      <c r="T31" s="146"/>
      <c r="U31" s="146"/>
      <c r="V31" s="146"/>
      <c r="W31" s="146"/>
      <c r="X31" s="146"/>
      <c r="Y31" s="146"/>
    </row>
    <row r="32" ht="25.5" customHeight="1">
      <c r="A32" s="147"/>
      <c r="B32" s="237" t="s">
        <v>408</v>
      </c>
      <c r="C32" s="235"/>
      <c r="D32" s="235"/>
      <c r="E32" s="235"/>
      <c r="F32" s="235"/>
      <c r="G32" s="236"/>
      <c r="H32" s="185"/>
      <c r="I32" s="152" t="s">
        <v>242</v>
      </c>
      <c r="J32" s="149"/>
      <c r="K32" s="149"/>
      <c r="L32" s="149"/>
      <c r="M32" s="149"/>
      <c r="N32" s="150"/>
      <c r="O32" s="153"/>
      <c r="P32" s="153"/>
      <c r="Q32" s="153"/>
      <c r="R32" s="153"/>
      <c r="S32" s="153"/>
      <c r="T32" s="153"/>
      <c r="U32" s="153"/>
      <c r="V32" s="153"/>
      <c r="W32" s="153"/>
      <c r="X32" s="153"/>
      <c r="Y32" s="153"/>
    </row>
    <row r="33">
      <c r="A33" s="28"/>
      <c r="B33" s="186" t="s">
        <v>172</v>
      </c>
      <c r="C33" s="186" t="s">
        <v>175</v>
      </c>
      <c r="D33" s="186" t="s">
        <v>243</v>
      </c>
      <c r="E33" s="187" t="s">
        <v>244</v>
      </c>
      <c r="F33" s="188" t="s">
        <v>245</v>
      </c>
      <c r="G33" s="189"/>
      <c r="H33" s="190"/>
      <c r="I33" s="157" t="s">
        <v>172</v>
      </c>
      <c r="J33" s="157" t="s">
        <v>175</v>
      </c>
      <c r="K33" s="157" t="s">
        <v>243</v>
      </c>
      <c r="L33" s="157" t="s">
        <v>244</v>
      </c>
      <c r="M33" s="191" t="s">
        <v>245</v>
      </c>
      <c r="N33" s="150"/>
    </row>
    <row r="34">
      <c r="A34" s="28"/>
      <c r="B34" s="193" t="s">
        <v>246</v>
      </c>
      <c r="C34" s="422" t="s">
        <v>656</v>
      </c>
      <c r="D34" s="423">
        <v>0.2375</v>
      </c>
      <c r="E34" s="367" t="s">
        <v>248</v>
      </c>
      <c r="F34" s="197">
        <v>0.177</v>
      </c>
      <c r="G34" s="198"/>
      <c r="H34" s="164"/>
      <c r="I34" s="199" t="s">
        <v>246</v>
      </c>
      <c r="J34" s="424">
        <v>571.9</v>
      </c>
      <c r="K34" s="402" t="s">
        <v>410</v>
      </c>
      <c r="L34" s="202" t="s">
        <v>248</v>
      </c>
      <c r="M34" s="203">
        <f t="shared" ref="M34:M37" si="1">J34/sum($J$34:$J$37)</f>
        <v>0.2628337699</v>
      </c>
      <c r="N34" s="203"/>
    </row>
    <row r="35">
      <c r="A35" s="28"/>
      <c r="B35" s="204" t="s">
        <v>249</v>
      </c>
      <c r="C35" s="425" t="s">
        <v>657</v>
      </c>
      <c r="D35" s="382">
        <v>0.3375</v>
      </c>
      <c r="E35" s="212" t="s">
        <v>248</v>
      </c>
      <c r="F35" s="208">
        <v>0.379</v>
      </c>
      <c r="G35" s="209"/>
      <c r="H35" s="164"/>
      <c r="I35" s="204" t="s">
        <v>249</v>
      </c>
      <c r="J35" s="205">
        <v>749.1</v>
      </c>
      <c r="K35" s="369" t="s">
        <v>412</v>
      </c>
      <c r="L35" s="212" t="s">
        <v>248</v>
      </c>
      <c r="M35" s="213">
        <f t="shared" si="1"/>
        <v>0.344271336</v>
      </c>
      <c r="N35" s="213"/>
    </row>
    <row r="36">
      <c r="A36" s="28"/>
      <c r="B36" s="214" t="s">
        <v>251</v>
      </c>
      <c r="C36" s="426" t="s">
        <v>658</v>
      </c>
      <c r="D36" s="383">
        <v>0.2875</v>
      </c>
      <c r="E36" s="222" t="s">
        <v>248</v>
      </c>
      <c r="F36" s="218">
        <v>0.23</v>
      </c>
      <c r="G36" s="219"/>
      <c r="H36" s="164"/>
      <c r="I36" s="214" t="s">
        <v>251</v>
      </c>
      <c r="J36" s="215">
        <v>525.3</v>
      </c>
      <c r="K36" s="370" t="s">
        <v>414</v>
      </c>
      <c r="L36" s="222" t="s">
        <v>248</v>
      </c>
      <c r="M36" s="223">
        <f t="shared" si="1"/>
        <v>0.2414173445</v>
      </c>
      <c r="N36" s="223"/>
    </row>
    <row r="37">
      <c r="A37" s="28"/>
      <c r="B37" s="224" t="s">
        <v>253</v>
      </c>
      <c r="C37" s="427" t="s">
        <v>659</v>
      </c>
      <c r="D37" s="384">
        <v>0.1375</v>
      </c>
      <c r="E37" s="232" t="s">
        <v>248</v>
      </c>
      <c r="F37" s="228">
        <v>0.137</v>
      </c>
      <c r="G37" s="229"/>
      <c r="H37" s="164"/>
      <c r="I37" s="224" t="s">
        <v>253</v>
      </c>
      <c r="J37" s="225">
        <v>329.6</v>
      </c>
      <c r="K37" s="371" t="s">
        <v>416</v>
      </c>
      <c r="L37" s="232" t="s">
        <v>248</v>
      </c>
      <c r="M37" s="233">
        <f t="shared" si="1"/>
        <v>0.1514775495</v>
      </c>
      <c r="N37" s="233"/>
    </row>
    <row r="38">
      <c r="A38" s="28"/>
      <c r="B38" s="28"/>
      <c r="C38" s="28"/>
      <c r="D38" s="28"/>
      <c r="E38" s="28"/>
      <c r="F38" s="28"/>
      <c r="G38" s="28"/>
    </row>
    <row r="39" ht="22.5" customHeight="1">
      <c r="A39" s="142"/>
      <c r="B39" s="234" t="s">
        <v>255</v>
      </c>
      <c r="C39" s="235"/>
      <c r="D39" s="235"/>
      <c r="E39" s="235"/>
      <c r="F39" s="235"/>
      <c r="G39" s="235"/>
      <c r="H39" s="235"/>
      <c r="I39" s="235"/>
      <c r="J39" s="235"/>
      <c r="K39" s="235"/>
      <c r="L39" s="235"/>
      <c r="M39" s="235"/>
      <c r="N39" s="236"/>
      <c r="O39" s="146"/>
      <c r="P39" s="146"/>
      <c r="Q39" s="146"/>
      <c r="R39" s="146"/>
      <c r="S39" s="146"/>
      <c r="T39" s="146"/>
      <c r="U39" s="146"/>
      <c r="V39" s="146"/>
      <c r="W39" s="146"/>
      <c r="X39" s="146"/>
      <c r="Y39" s="146"/>
    </row>
    <row r="40" ht="25.5" customHeight="1">
      <c r="A40" s="147"/>
      <c r="B40" s="237" t="s">
        <v>256</v>
      </c>
      <c r="C40" s="235"/>
      <c r="D40" s="235"/>
      <c r="E40" s="235"/>
      <c r="F40" s="235"/>
      <c r="G40" s="236"/>
      <c r="H40" s="185"/>
      <c r="I40" s="152" t="s">
        <v>257</v>
      </c>
      <c r="J40" s="149"/>
      <c r="K40" s="149"/>
      <c r="L40" s="149"/>
      <c r="M40" s="149"/>
      <c r="N40" s="150"/>
      <c r="O40" s="153"/>
      <c r="P40" s="153"/>
      <c r="Q40" s="153"/>
      <c r="R40" s="153"/>
      <c r="S40" s="153"/>
      <c r="T40" s="153"/>
      <c r="U40" s="153"/>
      <c r="V40" s="153"/>
      <c r="W40" s="153"/>
      <c r="X40" s="153"/>
      <c r="Y40" s="153"/>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385"/>
      <c r="B42" s="377" t="s">
        <v>262</v>
      </c>
      <c r="C42" s="243" t="s">
        <v>615</v>
      </c>
      <c r="D42" s="243">
        <v>2306.07</v>
      </c>
      <c r="E42" s="246">
        <v>1.0</v>
      </c>
      <c r="F42" s="386"/>
      <c r="G42" s="235"/>
      <c r="H42" s="387"/>
      <c r="I42" s="377" t="s">
        <v>262</v>
      </c>
      <c r="J42" s="243" t="s">
        <v>615</v>
      </c>
      <c r="K42" s="243">
        <v>2175.9</v>
      </c>
      <c r="L42" s="246">
        <v>0.962</v>
      </c>
      <c r="M42" s="386"/>
      <c r="N42" s="235"/>
      <c r="O42" s="388"/>
      <c r="P42" s="388"/>
      <c r="Q42" s="388"/>
      <c r="R42" s="388"/>
      <c r="S42" s="388"/>
      <c r="T42" s="388"/>
      <c r="U42" s="388"/>
      <c r="V42" s="388"/>
      <c r="W42" s="388"/>
      <c r="X42" s="388"/>
      <c r="Y42" s="388"/>
    </row>
    <row r="43">
      <c r="A43" s="385"/>
      <c r="B43" s="377" t="s">
        <v>158</v>
      </c>
      <c r="C43" s="243" t="s">
        <v>616</v>
      </c>
      <c r="D43" s="243">
        <v>53.53</v>
      </c>
      <c r="E43" s="246">
        <v>1.0</v>
      </c>
      <c r="F43" s="386"/>
      <c r="G43" s="235"/>
      <c r="H43" s="387"/>
      <c r="I43" s="377" t="s">
        <v>158</v>
      </c>
      <c r="J43" s="243" t="s">
        <v>616</v>
      </c>
      <c r="K43" s="243">
        <v>38.7</v>
      </c>
      <c r="L43" s="246">
        <v>0.948</v>
      </c>
      <c r="M43" s="386"/>
      <c r="N43" s="235"/>
      <c r="O43" s="388"/>
      <c r="P43" s="388"/>
      <c r="Q43" s="388"/>
      <c r="R43" s="388"/>
      <c r="S43" s="388"/>
      <c r="T43" s="388"/>
      <c r="U43" s="388"/>
      <c r="V43" s="388"/>
      <c r="W43" s="388"/>
      <c r="X43" s="388"/>
      <c r="Y43" s="388"/>
    </row>
    <row r="44">
      <c r="A44" s="385"/>
      <c r="B44" s="377" t="s">
        <v>263</v>
      </c>
      <c r="C44" s="243" t="s">
        <v>617</v>
      </c>
      <c r="D44" s="243">
        <v>926.05</v>
      </c>
      <c r="E44" s="246">
        <v>1.0</v>
      </c>
      <c r="F44" s="386"/>
      <c r="G44" s="235"/>
      <c r="H44" s="387"/>
      <c r="I44" s="377" t="s">
        <v>263</v>
      </c>
      <c r="J44" s="243" t="s">
        <v>617</v>
      </c>
      <c r="K44" s="243">
        <v>78.9</v>
      </c>
      <c r="L44" s="246">
        <v>1.0</v>
      </c>
      <c r="M44" s="386"/>
      <c r="N44" s="235"/>
      <c r="O44" s="388"/>
      <c r="P44" s="388"/>
      <c r="Q44" s="388"/>
      <c r="R44" s="388"/>
      <c r="S44" s="388"/>
      <c r="T44" s="388"/>
      <c r="U44" s="388"/>
      <c r="V44" s="388"/>
      <c r="W44" s="388"/>
      <c r="X44" s="388"/>
      <c r="Y44" s="388"/>
    </row>
    <row r="45">
      <c r="A45" s="385"/>
      <c r="B45" s="377" t="s">
        <v>264</v>
      </c>
      <c r="C45" s="243" t="s">
        <v>619</v>
      </c>
      <c r="D45" s="243">
        <v>362.0</v>
      </c>
      <c r="E45" s="246">
        <v>1.0</v>
      </c>
      <c r="F45" s="386"/>
      <c r="G45" s="235"/>
      <c r="H45" s="387"/>
      <c r="I45" s="377" t="s">
        <v>264</v>
      </c>
      <c r="J45" s="243" t="s">
        <v>619</v>
      </c>
      <c r="K45" s="243">
        <v>339.8</v>
      </c>
      <c r="L45" s="246">
        <v>0.996</v>
      </c>
      <c r="M45" s="386"/>
      <c r="N45" s="235"/>
      <c r="O45" s="388"/>
      <c r="P45" s="388"/>
      <c r="Q45" s="388"/>
      <c r="R45" s="388"/>
      <c r="S45" s="388"/>
      <c r="T45" s="388"/>
      <c r="U45" s="388"/>
      <c r="V45" s="388"/>
      <c r="W45" s="388"/>
      <c r="X45" s="388"/>
      <c r="Y45" s="388"/>
    </row>
    <row r="46">
      <c r="A46" s="385"/>
      <c r="B46" s="377" t="s">
        <v>265</v>
      </c>
      <c r="C46" s="243" t="s">
        <v>660</v>
      </c>
      <c r="D46" s="243">
        <v>1737.34</v>
      </c>
      <c r="E46" s="246">
        <v>1.0</v>
      </c>
      <c r="F46" s="386"/>
      <c r="G46" s="235"/>
      <c r="H46" s="387"/>
      <c r="I46" s="377" t="s">
        <v>265</v>
      </c>
      <c r="J46" s="243" t="s">
        <v>660</v>
      </c>
      <c r="K46" s="243">
        <v>2795.7</v>
      </c>
      <c r="L46" s="246">
        <f>K46/2000</f>
        <v>1.39785</v>
      </c>
      <c r="M46" s="386"/>
      <c r="N46" s="235"/>
      <c r="O46" s="388"/>
      <c r="P46" s="388"/>
      <c r="Q46" s="388"/>
      <c r="R46" s="388"/>
      <c r="S46" s="388"/>
      <c r="T46" s="388"/>
      <c r="U46" s="388"/>
      <c r="V46" s="388"/>
      <c r="W46" s="388"/>
      <c r="X46" s="388"/>
      <c r="Y46" s="388"/>
    </row>
    <row r="47">
      <c r="A47" s="385"/>
      <c r="B47" s="377" t="s">
        <v>267</v>
      </c>
      <c r="C47" s="243" t="s">
        <v>661</v>
      </c>
      <c r="D47" s="243">
        <v>21.92</v>
      </c>
      <c r="E47" s="246">
        <v>1.0</v>
      </c>
      <c r="F47" s="386"/>
      <c r="G47" s="235"/>
      <c r="H47" s="387"/>
      <c r="I47" s="377" t="s">
        <v>267</v>
      </c>
      <c r="J47" s="243" t="s">
        <v>661</v>
      </c>
      <c r="K47" s="243">
        <v>33.5</v>
      </c>
      <c r="L47" s="246">
        <f>K47/31.2</f>
        <v>1.073717949</v>
      </c>
      <c r="M47" s="386"/>
      <c r="N47" s="235"/>
      <c r="O47" s="388"/>
      <c r="P47" s="388"/>
      <c r="Q47" s="388"/>
      <c r="R47" s="388"/>
      <c r="S47" s="388"/>
      <c r="T47" s="388"/>
      <c r="U47" s="388"/>
      <c r="V47" s="388"/>
      <c r="W47" s="388"/>
      <c r="X47" s="388"/>
      <c r="Y47" s="388"/>
    </row>
    <row r="48">
      <c r="A48" s="385"/>
      <c r="B48" s="377" t="s">
        <v>269</v>
      </c>
      <c r="C48" s="243" t="s">
        <v>270</v>
      </c>
      <c r="D48" s="243">
        <v>120.33</v>
      </c>
      <c r="E48" s="246">
        <v>1.0</v>
      </c>
      <c r="F48" s="386"/>
      <c r="G48" s="235"/>
      <c r="H48" s="387"/>
      <c r="I48" s="377" t="s">
        <v>269</v>
      </c>
      <c r="J48" s="243" t="s">
        <v>270</v>
      </c>
      <c r="K48" s="243">
        <v>103.5</v>
      </c>
      <c r="L48" s="246">
        <v>1.0</v>
      </c>
      <c r="M48" s="386"/>
      <c r="N48" s="235"/>
      <c r="O48" s="388"/>
      <c r="P48" s="388"/>
      <c r="Q48" s="388"/>
      <c r="R48" s="388"/>
      <c r="S48" s="388"/>
      <c r="T48" s="388"/>
      <c r="U48" s="388"/>
      <c r="V48" s="388"/>
      <c r="W48" s="388"/>
      <c r="X48" s="388"/>
      <c r="Y48" s="388"/>
    </row>
    <row r="49">
      <c r="A49" s="385"/>
      <c r="B49" s="377" t="s">
        <v>271</v>
      </c>
      <c r="C49" s="243" t="s">
        <v>662</v>
      </c>
      <c r="D49" s="243">
        <v>27.62</v>
      </c>
      <c r="E49" s="246">
        <v>1.0</v>
      </c>
      <c r="F49" s="386"/>
      <c r="G49" s="235"/>
      <c r="H49" s="389"/>
      <c r="I49" s="377" t="s">
        <v>271</v>
      </c>
      <c r="J49" s="243" t="s">
        <v>662</v>
      </c>
      <c r="K49" s="243">
        <v>15.5</v>
      </c>
      <c r="L49" s="246">
        <v>1.0</v>
      </c>
      <c r="M49" s="386"/>
      <c r="N49" s="235"/>
      <c r="O49" s="388"/>
      <c r="P49" s="388"/>
      <c r="Q49" s="388"/>
      <c r="R49" s="388"/>
      <c r="S49" s="388"/>
      <c r="T49" s="388"/>
      <c r="U49" s="388"/>
      <c r="V49" s="388"/>
      <c r="W49" s="388"/>
      <c r="X49" s="388"/>
      <c r="Y49" s="388"/>
    </row>
    <row r="50">
      <c r="A50" s="385"/>
      <c r="B50" s="377" t="s">
        <v>297</v>
      </c>
      <c r="C50" s="243" t="s">
        <v>663</v>
      </c>
      <c r="D50" s="243">
        <v>815.74</v>
      </c>
      <c r="E50" s="246">
        <v>1.0</v>
      </c>
      <c r="F50" s="386"/>
      <c r="G50" s="235"/>
      <c r="H50" s="389"/>
      <c r="I50" s="377" t="s">
        <v>297</v>
      </c>
      <c r="J50" s="243" t="s">
        <v>663</v>
      </c>
      <c r="K50" s="243">
        <v>427.1</v>
      </c>
      <c r="L50" s="246">
        <v>0.534</v>
      </c>
      <c r="M50" s="386"/>
      <c r="N50" s="235"/>
      <c r="O50" s="388"/>
      <c r="P50" s="388"/>
      <c r="Q50" s="388"/>
      <c r="R50" s="388"/>
      <c r="S50" s="388"/>
      <c r="T50" s="388"/>
      <c r="U50" s="388"/>
      <c r="V50" s="388"/>
      <c r="W50" s="388"/>
      <c r="X50" s="388"/>
      <c r="Y50" s="388"/>
    </row>
    <row r="51">
      <c r="A51" s="385"/>
      <c r="B51" s="377" t="s">
        <v>302</v>
      </c>
      <c r="C51" s="243" t="s">
        <v>663</v>
      </c>
      <c r="D51" s="243">
        <v>926.05</v>
      </c>
      <c r="E51" s="246">
        <v>1.0</v>
      </c>
      <c r="F51" s="386"/>
      <c r="G51" s="235"/>
      <c r="H51" s="389"/>
      <c r="I51" s="377" t="s">
        <v>302</v>
      </c>
      <c r="J51" s="243" t="s">
        <v>663</v>
      </c>
      <c r="K51" s="243">
        <v>1075.6</v>
      </c>
      <c r="L51" s="246">
        <f>K51/1000</f>
        <v>1.0756</v>
      </c>
      <c r="M51" s="386"/>
      <c r="N51" s="235"/>
      <c r="O51" s="388"/>
      <c r="P51" s="388"/>
      <c r="Q51" s="388"/>
      <c r="R51" s="388"/>
      <c r="S51" s="388"/>
      <c r="T51" s="388"/>
      <c r="U51" s="388"/>
      <c r="V51" s="388"/>
      <c r="W51" s="388"/>
      <c r="X51" s="388"/>
      <c r="Y51" s="388"/>
    </row>
    <row r="52">
      <c r="A52" s="385"/>
      <c r="B52" s="377" t="s">
        <v>420</v>
      </c>
      <c r="C52" s="243" t="s">
        <v>421</v>
      </c>
      <c r="D52" s="243">
        <v>77.28</v>
      </c>
      <c r="E52" s="246">
        <v>1.0</v>
      </c>
      <c r="F52" s="386"/>
      <c r="G52" s="235"/>
      <c r="H52" s="389"/>
      <c r="I52" s="377" t="s">
        <v>420</v>
      </c>
      <c r="J52" s="243" t="s">
        <v>421</v>
      </c>
      <c r="K52" s="243">
        <v>12.6</v>
      </c>
      <c r="L52" s="246">
        <v>0.167</v>
      </c>
      <c r="M52" s="386"/>
      <c r="N52" s="235"/>
      <c r="O52" s="388"/>
      <c r="P52" s="388"/>
      <c r="Q52" s="388"/>
      <c r="R52" s="388"/>
      <c r="S52" s="388"/>
      <c r="T52" s="388"/>
      <c r="U52" s="388"/>
      <c r="V52" s="388"/>
      <c r="W52" s="388"/>
      <c r="X52" s="388"/>
      <c r="Y52" s="388"/>
    </row>
    <row r="53">
      <c r="A53" s="28"/>
      <c r="B53" s="28"/>
      <c r="C53" s="28"/>
      <c r="D53" s="28"/>
      <c r="E53" s="28"/>
      <c r="F53" s="28"/>
      <c r="G53" s="28"/>
    </row>
    <row r="54" ht="22.5" customHeight="1">
      <c r="A54" s="142"/>
      <c r="B54" s="234" t="s">
        <v>273</v>
      </c>
      <c r="C54" s="235"/>
      <c r="D54" s="235"/>
      <c r="E54" s="235"/>
      <c r="F54" s="235"/>
      <c r="G54" s="235"/>
      <c r="H54" s="235"/>
      <c r="I54" s="235"/>
      <c r="J54" s="235"/>
      <c r="K54" s="235"/>
      <c r="L54" s="235"/>
      <c r="M54" s="235"/>
      <c r="N54" s="236"/>
      <c r="O54" s="146"/>
      <c r="P54" s="146"/>
      <c r="Q54" s="146"/>
      <c r="R54" s="146"/>
      <c r="S54" s="146"/>
      <c r="T54" s="146"/>
      <c r="U54" s="146"/>
      <c r="V54" s="146"/>
      <c r="W54" s="146"/>
      <c r="X54" s="146"/>
      <c r="Y54" s="146"/>
    </row>
    <row r="55" ht="25.5" customHeight="1">
      <c r="A55" s="147"/>
      <c r="B55" s="237" t="s">
        <v>274</v>
      </c>
      <c r="C55" s="235"/>
      <c r="D55" s="235"/>
      <c r="E55" s="235"/>
      <c r="F55" s="235"/>
      <c r="G55" s="236"/>
      <c r="H55" s="185"/>
      <c r="I55" s="152" t="s">
        <v>275</v>
      </c>
      <c r="J55" s="149"/>
      <c r="K55" s="149"/>
      <c r="L55" s="149"/>
      <c r="M55" s="149"/>
      <c r="N55" s="150"/>
      <c r="O55" s="153"/>
      <c r="P55" s="153"/>
      <c r="Q55" s="153"/>
      <c r="R55" s="153"/>
      <c r="S55" s="153"/>
      <c r="T55" s="153"/>
      <c r="U55" s="153"/>
      <c r="V55" s="153"/>
      <c r="W55" s="153"/>
      <c r="X55" s="153"/>
      <c r="Y55" s="153"/>
    </row>
    <row r="56">
      <c r="A56" s="28"/>
      <c r="B56" s="238" t="s">
        <v>258</v>
      </c>
      <c r="C56" s="238" t="s">
        <v>276</v>
      </c>
      <c r="D56" s="238" t="s">
        <v>260</v>
      </c>
      <c r="E56" s="376" t="s">
        <v>261</v>
      </c>
      <c r="F56" s="251" t="s">
        <v>244</v>
      </c>
      <c r="G56" s="252"/>
      <c r="H56" s="190"/>
      <c r="I56" s="239" t="s">
        <v>258</v>
      </c>
      <c r="J56" s="239" t="s">
        <v>276</v>
      </c>
      <c r="K56" s="239" t="s">
        <v>260</v>
      </c>
      <c r="L56" s="240" t="s">
        <v>261</v>
      </c>
      <c r="M56" s="241"/>
      <c r="N56" s="150"/>
    </row>
    <row r="57">
      <c r="A57" s="385"/>
      <c r="B57" s="377" t="s">
        <v>277</v>
      </c>
      <c r="C57" s="243" t="s">
        <v>278</v>
      </c>
      <c r="D57" s="243">
        <v>0.09</v>
      </c>
      <c r="E57" s="246">
        <v>0.1</v>
      </c>
      <c r="F57" s="391"/>
      <c r="G57" s="256"/>
      <c r="H57" s="387"/>
      <c r="I57" s="377" t="s">
        <v>277</v>
      </c>
      <c r="J57" s="243" t="s">
        <v>278</v>
      </c>
      <c r="K57" s="243">
        <v>0.6</v>
      </c>
      <c r="L57" s="246">
        <v>0.639</v>
      </c>
      <c r="M57" s="391"/>
      <c r="N57" s="256"/>
      <c r="O57" s="388"/>
      <c r="P57" s="388"/>
      <c r="Q57" s="388"/>
      <c r="R57" s="388"/>
      <c r="S57" s="388"/>
      <c r="T57" s="388"/>
      <c r="U57" s="388"/>
      <c r="V57" s="388"/>
      <c r="W57" s="388"/>
      <c r="X57" s="388"/>
      <c r="Y57" s="388"/>
    </row>
    <row r="58">
      <c r="A58" s="385"/>
      <c r="B58" s="377" t="s">
        <v>282</v>
      </c>
      <c r="C58" s="243" t="s">
        <v>283</v>
      </c>
      <c r="D58" s="243">
        <v>0.0</v>
      </c>
      <c r="E58" s="246">
        <v>0.0</v>
      </c>
      <c r="F58" s="386"/>
      <c r="G58" s="235"/>
      <c r="H58" s="387"/>
      <c r="I58" s="377" t="s">
        <v>282</v>
      </c>
      <c r="J58" s="243" t="s">
        <v>283</v>
      </c>
      <c r="K58" s="243">
        <v>0.0</v>
      </c>
      <c r="L58" s="246">
        <v>0.0</v>
      </c>
      <c r="M58" s="386"/>
      <c r="N58" s="235"/>
      <c r="O58" s="388"/>
      <c r="P58" s="388"/>
      <c r="Q58" s="388"/>
      <c r="R58" s="388"/>
      <c r="S58" s="388"/>
      <c r="T58" s="388"/>
      <c r="U58" s="388"/>
      <c r="V58" s="388"/>
      <c r="W58" s="388"/>
      <c r="X58" s="388"/>
      <c r="Y58" s="388"/>
    </row>
    <row r="59">
      <c r="A59" s="385"/>
      <c r="B59" s="377" t="s">
        <v>284</v>
      </c>
      <c r="C59" s="243" t="s">
        <v>285</v>
      </c>
      <c r="D59" s="243">
        <v>19.63</v>
      </c>
      <c r="E59" s="246">
        <v>1.0</v>
      </c>
      <c r="F59" s="386"/>
      <c r="G59" s="235"/>
      <c r="H59" s="387"/>
      <c r="I59" s="377" t="s">
        <v>284</v>
      </c>
      <c r="J59" s="243" t="s">
        <v>285</v>
      </c>
      <c r="K59" s="243">
        <v>7.4</v>
      </c>
      <c r="L59" s="246">
        <v>0.491</v>
      </c>
      <c r="M59" s="386"/>
      <c r="N59" s="235"/>
      <c r="O59" s="388"/>
      <c r="P59" s="388"/>
      <c r="Q59" s="388"/>
      <c r="R59" s="388"/>
      <c r="S59" s="388"/>
      <c r="T59" s="388"/>
      <c r="U59" s="388"/>
      <c r="V59" s="388"/>
      <c r="W59" s="388"/>
      <c r="X59" s="388"/>
      <c r="Y59" s="388"/>
    </row>
    <row r="60">
      <c r="A60" s="385"/>
      <c r="B60" s="377" t="s">
        <v>286</v>
      </c>
      <c r="C60" s="243">
        <v>0.1</v>
      </c>
      <c r="D60" s="243">
        <v>0.09</v>
      </c>
      <c r="E60" s="246">
        <v>0.75</v>
      </c>
      <c r="F60" s="386"/>
      <c r="G60" s="235"/>
      <c r="H60" s="387"/>
      <c r="I60" s="377" t="s">
        <v>286</v>
      </c>
      <c r="J60" s="243">
        <v>0.1</v>
      </c>
      <c r="K60" s="243">
        <v>0.0347</v>
      </c>
      <c r="L60" s="246">
        <v>0.289</v>
      </c>
      <c r="M60" s="386"/>
      <c r="N60" s="235"/>
      <c r="O60" s="388"/>
      <c r="P60" s="388"/>
      <c r="Q60" s="388"/>
      <c r="R60" s="388"/>
      <c r="S60" s="388"/>
      <c r="T60" s="388"/>
      <c r="U60" s="388"/>
      <c r="V60" s="388"/>
      <c r="W60" s="388"/>
      <c r="X60" s="388"/>
      <c r="Y60" s="388"/>
    </row>
    <row r="61">
      <c r="A61" s="385"/>
      <c r="B61" s="377" t="s">
        <v>287</v>
      </c>
      <c r="C61" s="243">
        <v>1.2</v>
      </c>
      <c r="D61" s="243">
        <v>2.2</v>
      </c>
      <c r="E61" s="246">
        <v>1.0</v>
      </c>
      <c r="F61" s="386"/>
      <c r="G61" s="235"/>
      <c r="H61" s="387"/>
      <c r="I61" s="377" t="s">
        <v>287</v>
      </c>
      <c r="J61" s="243">
        <v>1.2</v>
      </c>
      <c r="K61" s="243">
        <v>2.1</v>
      </c>
      <c r="L61" s="246">
        <v>1.0</v>
      </c>
      <c r="M61" s="386"/>
      <c r="N61" s="235"/>
      <c r="O61" s="388"/>
      <c r="P61" s="388"/>
      <c r="Q61" s="388"/>
      <c r="R61" s="388"/>
      <c r="S61" s="388"/>
      <c r="T61" s="388"/>
      <c r="U61" s="388"/>
      <c r="V61" s="388"/>
      <c r="W61" s="388"/>
      <c r="X61" s="388"/>
      <c r="Y61" s="388"/>
    </row>
    <row r="62">
      <c r="A62" s="385"/>
      <c r="B62" s="377" t="s">
        <v>288</v>
      </c>
      <c r="C62" s="243">
        <v>1.3</v>
      </c>
      <c r="D62" s="243">
        <v>1.55</v>
      </c>
      <c r="E62" s="246">
        <v>1.0</v>
      </c>
      <c r="F62" s="386"/>
      <c r="G62" s="235"/>
      <c r="H62" s="387"/>
      <c r="I62" s="377" t="s">
        <v>288</v>
      </c>
      <c r="J62" s="243">
        <v>1.3</v>
      </c>
      <c r="K62" s="243">
        <v>1.9</v>
      </c>
      <c r="L62" s="246">
        <v>1.0</v>
      </c>
      <c r="M62" s="386"/>
      <c r="N62" s="235"/>
      <c r="O62" s="388"/>
      <c r="P62" s="388"/>
      <c r="Q62" s="388"/>
      <c r="R62" s="388"/>
      <c r="S62" s="388"/>
      <c r="T62" s="388"/>
      <c r="U62" s="388"/>
      <c r="V62" s="388"/>
      <c r="W62" s="388"/>
      <c r="X62" s="388"/>
      <c r="Y62" s="388"/>
    </row>
    <row r="63">
      <c r="A63" s="385"/>
      <c r="B63" s="377" t="s">
        <v>289</v>
      </c>
      <c r="C63" s="243" t="s">
        <v>290</v>
      </c>
      <c r="D63" s="243">
        <v>19.92</v>
      </c>
      <c r="E63" s="246">
        <v>1.0</v>
      </c>
      <c r="F63" s="386"/>
      <c r="G63" s="235"/>
      <c r="H63" s="387"/>
      <c r="I63" s="377" t="s">
        <v>289</v>
      </c>
      <c r="J63" s="243" t="s">
        <v>290</v>
      </c>
      <c r="K63" s="243">
        <v>20.8</v>
      </c>
      <c r="L63" s="246">
        <v>1.0</v>
      </c>
      <c r="M63" s="386"/>
      <c r="N63" s="235"/>
      <c r="O63" s="388"/>
      <c r="P63" s="388"/>
      <c r="Q63" s="388"/>
      <c r="R63" s="388"/>
      <c r="S63" s="388"/>
      <c r="T63" s="388"/>
      <c r="U63" s="388"/>
      <c r="V63" s="388"/>
      <c r="W63" s="388"/>
      <c r="X63" s="388"/>
      <c r="Y63" s="388"/>
    </row>
    <row r="64">
      <c r="A64" s="385"/>
      <c r="B64" s="377" t="s">
        <v>291</v>
      </c>
      <c r="C64" s="243">
        <v>5.0</v>
      </c>
      <c r="D64" s="243">
        <v>4.07</v>
      </c>
      <c r="E64" s="246">
        <v>0.814</v>
      </c>
      <c r="F64" s="386"/>
      <c r="G64" s="235"/>
      <c r="H64" s="387"/>
      <c r="I64" s="377" t="s">
        <v>291</v>
      </c>
      <c r="J64" s="243">
        <v>5.0</v>
      </c>
      <c r="K64" s="243">
        <v>2.8</v>
      </c>
      <c r="L64" s="246">
        <v>0.554</v>
      </c>
      <c r="M64" s="386"/>
      <c r="N64" s="235"/>
      <c r="O64" s="388"/>
      <c r="P64" s="388"/>
      <c r="Q64" s="388"/>
      <c r="R64" s="388"/>
      <c r="S64" s="388"/>
      <c r="T64" s="388"/>
      <c r="U64" s="388"/>
      <c r="V64" s="388"/>
      <c r="W64" s="388"/>
      <c r="X64" s="388"/>
      <c r="Y64" s="388"/>
    </row>
    <row r="65">
      <c r="A65" s="385"/>
      <c r="B65" s="377" t="s">
        <v>292</v>
      </c>
      <c r="C65" s="243" t="s">
        <v>293</v>
      </c>
      <c r="D65" s="243">
        <v>1.91</v>
      </c>
      <c r="E65" s="246">
        <v>1.0</v>
      </c>
      <c r="F65" s="386"/>
      <c r="G65" s="235"/>
      <c r="H65" s="387"/>
      <c r="I65" s="377" t="s">
        <v>292</v>
      </c>
      <c r="J65" s="243" t="s">
        <v>293</v>
      </c>
      <c r="K65" s="243">
        <v>2.0</v>
      </c>
      <c r="L65" s="246">
        <v>1.0</v>
      </c>
      <c r="M65" s="386"/>
      <c r="N65" s="235"/>
      <c r="O65" s="388"/>
      <c r="P65" s="388"/>
      <c r="Q65" s="388"/>
      <c r="R65" s="388"/>
      <c r="S65" s="388"/>
      <c r="T65" s="388"/>
      <c r="U65" s="388"/>
      <c r="V65" s="388"/>
      <c r="W65" s="388"/>
      <c r="X65" s="388"/>
      <c r="Y65" s="388"/>
    </row>
    <row r="66">
      <c r="A66" s="385"/>
      <c r="B66" s="377" t="s">
        <v>294</v>
      </c>
      <c r="C66" s="243" t="s">
        <v>295</v>
      </c>
      <c r="D66" s="243">
        <v>0.81</v>
      </c>
      <c r="E66" s="246">
        <v>1.0</v>
      </c>
      <c r="F66" s="386"/>
      <c r="G66" s="235"/>
      <c r="H66" s="387"/>
      <c r="I66" s="377" t="s">
        <v>294</v>
      </c>
      <c r="J66" s="243" t="s">
        <v>295</v>
      </c>
      <c r="K66" s="243">
        <v>0.2</v>
      </c>
      <c r="L66" s="246">
        <v>0.463</v>
      </c>
      <c r="M66" s="386"/>
      <c r="N66" s="235"/>
      <c r="O66" s="388"/>
      <c r="P66" s="388"/>
      <c r="Q66" s="388"/>
      <c r="R66" s="388"/>
      <c r="S66" s="388"/>
      <c r="T66" s="388"/>
      <c r="U66" s="388"/>
      <c r="V66" s="388"/>
      <c r="W66" s="388"/>
      <c r="X66" s="388"/>
      <c r="Y66" s="388"/>
    </row>
    <row r="67">
      <c r="A67" s="385"/>
      <c r="B67" s="377" t="s">
        <v>296</v>
      </c>
      <c r="C67" s="243">
        <v>0.0024</v>
      </c>
      <c r="D67" s="243">
        <v>0.0</v>
      </c>
      <c r="E67" s="246">
        <v>0.0</v>
      </c>
      <c r="F67" s="386"/>
      <c r="G67" s="235"/>
      <c r="H67" s="387"/>
      <c r="I67" s="377" t="s">
        <v>296</v>
      </c>
      <c r="J67" s="243">
        <v>0.0024</v>
      </c>
      <c r="K67" s="243">
        <v>0.0027</v>
      </c>
      <c r="L67" s="246">
        <v>1.0</v>
      </c>
      <c r="M67" s="386"/>
      <c r="N67" s="235"/>
      <c r="O67" s="388"/>
      <c r="P67" s="388"/>
      <c r="Q67" s="388"/>
      <c r="R67" s="388"/>
      <c r="S67" s="388"/>
      <c r="T67" s="388"/>
      <c r="U67" s="388"/>
      <c r="V67" s="388"/>
      <c r="W67" s="388"/>
      <c r="X67" s="388"/>
      <c r="Y67" s="388"/>
    </row>
    <row r="68">
      <c r="A68" s="385"/>
      <c r="B68" s="377" t="s">
        <v>299</v>
      </c>
      <c r="C68" s="243" t="s">
        <v>300</v>
      </c>
      <c r="D68" s="243">
        <v>19.0</v>
      </c>
      <c r="E68" s="246">
        <v>1.0</v>
      </c>
      <c r="F68" s="386"/>
      <c r="G68" s="235"/>
      <c r="H68" s="387"/>
      <c r="I68" s="377" t="s">
        <v>299</v>
      </c>
      <c r="J68" s="243" t="s">
        <v>300</v>
      </c>
      <c r="K68" s="243">
        <v>18.1</v>
      </c>
      <c r="L68" s="246">
        <v>1.0</v>
      </c>
      <c r="M68" s="386"/>
      <c r="N68" s="235"/>
      <c r="O68" s="388"/>
      <c r="P68" s="388"/>
      <c r="Q68" s="388"/>
      <c r="R68" s="388"/>
      <c r="S68" s="388"/>
      <c r="T68" s="388"/>
      <c r="U68" s="388"/>
      <c r="V68" s="388"/>
      <c r="W68" s="388"/>
      <c r="X68" s="388"/>
      <c r="Y68" s="388"/>
    </row>
    <row r="69">
      <c r="A69" s="385"/>
      <c r="B69" s="377" t="s">
        <v>301</v>
      </c>
      <c r="C69" s="243">
        <v>400.0</v>
      </c>
      <c r="D69" s="243">
        <v>380.74</v>
      </c>
      <c r="E69" s="246">
        <v>0.95185</v>
      </c>
      <c r="F69" s="386"/>
      <c r="G69" s="235"/>
      <c r="H69" s="387"/>
      <c r="I69" s="377" t="s">
        <v>301</v>
      </c>
      <c r="J69" s="243">
        <v>400.0</v>
      </c>
      <c r="K69" s="243">
        <v>201.4</v>
      </c>
      <c r="L69" s="246">
        <v>0.503</v>
      </c>
      <c r="M69" s="386"/>
      <c r="N69" s="235"/>
      <c r="O69" s="388"/>
      <c r="P69" s="388"/>
      <c r="Q69" s="388"/>
      <c r="R69" s="388"/>
      <c r="S69" s="388"/>
      <c r="T69" s="388"/>
      <c r="U69" s="388"/>
      <c r="V69" s="388"/>
      <c r="W69" s="388"/>
      <c r="X69" s="388"/>
      <c r="Y69" s="388"/>
    </row>
    <row r="70">
      <c r="A70" s="385"/>
      <c r="B70" s="377" t="s">
        <v>304</v>
      </c>
      <c r="C70" s="243">
        <v>3400.0</v>
      </c>
      <c r="D70" s="243">
        <v>3342.81</v>
      </c>
      <c r="E70" s="246">
        <v>0.9831794</v>
      </c>
      <c r="F70" s="386"/>
      <c r="G70" s="235"/>
      <c r="H70" s="387"/>
      <c r="I70" s="377" t="s">
        <v>304</v>
      </c>
      <c r="J70" s="243">
        <v>3400.0</v>
      </c>
      <c r="K70" s="243">
        <v>1875.0</v>
      </c>
      <c r="L70" s="246">
        <v>0.551</v>
      </c>
      <c r="M70" s="386"/>
      <c r="N70" s="235"/>
      <c r="O70" s="388"/>
      <c r="P70" s="388"/>
      <c r="Q70" s="388"/>
      <c r="R70" s="388"/>
      <c r="S70" s="388"/>
      <c r="T70" s="388"/>
      <c r="U70" s="388"/>
      <c r="V70" s="388"/>
      <c r="W70" s="388"/>
      <c r="X70" s="388"/>
      <c r="Y70" s="388"/>
    </row>
    <row r="71">
      <c r="A71" s="385"/>
      <c r="B71" s="377" t="s">
        <v>305</v>
      </c>
      <c r="C71" s="243" t="s">
        <v>306</v>
      </c>
      <c r="D71" s="243">
        <v>7.21</v>
      </c>
      <c r="E71" s="246">
        <v>0.6554545</v>
      </c>
      <c r="F71" s="386"/>
      <c r="G71" s="235"/>
      <c r="H71" s="387"/>
      <c r="I71" s="377" t="s">
        <v>305</v>
      </c>
      <c r="J71" s="243" t="s">
        <v>306</v>
      </c>
      <c r="K71" s="243">
        <v>4.7</v>
      </c>
      <c r="L71" s="246">
        <v>0.428</v>
      </c>
      <c r="M71" s="386"/>
      <c r="N71" s="235"/>
      <c r="O71" s="388"/>
      <c r="P71" s="388"/>
      <c r="Q71" s="388"/>
      <c r="R71" s="388"/>
      <c r="S71" s="388"/>
      <c r="T71" s="388"/>
      <c r="U71" s="388"/>
      <c r="V71" s="388"/>
      <c r="W71" s="388"/>
      <c r="X71" s="388"/>
      <c r="Y71" s="388"/>
    </row>
    <row r="72">
      <c r="A72" s="385"/>
      <c r="B72" s="377" t="s">
        <v>307</v>
      </c>
      <c r="C72" s="243" t="s">
        <v>308</v>
      </c>
      <c r="D72" s="243">
        <v>1.77</v>
      </c>
      <c r="E72" s="246">
        <v>1.0</v>
      </c>
      <c r="F72" s="386"/>
      <c r="G72" s="235"/>
      <c r="H72" s="387"/>
      <c r="I72" s="377" t="s">
        <v>307</v>
      </c>
      <c r="J72" s="243" t="s">
        <v>308</v>
      </c>
      <c r="K72" s="243">
        <v>0.9</v>
      </c>
      <c r="L72" s="246">
        <v>0.998</v>
      </c>
      <c r="M72" s="386"/>
      <c r="N72" s="235"/>
      <c r="O72" s="388"/>
      <c r="P72" s="388"/>
      <c r="Q72" s="388"/>
      <c r="R72" s="388"/>
      <c r="S72" s="388"/>
      <c r="T72" s="388"/>
      <c r="U72" s="388"/>
      <c r="V72" s="388"/>
      <c r="W72" s="388"/>
      <c r="X72" s="388"/>
      <c r="Y72" s="388"/>
    </row>
    <row r="73">
      <c r="A73" s="385"/>
      <c r="B73" s="377" t="s">
        <v>309</v>
      </c>
      <c r="C73" s="243" t="s">
        <v>310</v>
      </c>
      <c r="D73" s="243">
        <v>4.51</v>
      </c>
      <c r="E73" s="246">
        <v>1.0</v>
      </c>
      <c r="F73" s="386"/>
      <c r="G73" s="235"/>
      <c r="H73" s="387"/>
      <c r="I73" s="377" t="s">
        <v>309</v>
      </c>
      <c r="J73" s="243" t="s">
        <v>310</v>
      </c>
      <c r="K73" s="243">
        <v>2.7</v>
      </c>
      <c r="L73" s="246">
        <v>1.0</v>
      </c>
      <c r="M73" s="386"/>
      <c r="N73" s="235"/>
      <c r="O73" s="388"/>
      <c r="P73" s="388"/>
      <c r="Q73" s="388"/>
      <c r="R73" s="388"/>
      <c r="S73" s="388"/>
      <c r="T73" s="388"/>
      <c r="U73" s="388"/>
      <c r="V73" s="388"/>
      <c r="W73" s="388"/>
      <c r="X73" s="388"/>
      <c r="Y73" s="388"/>
    </row>
    <row r="74">
      <c r="A74" s="385"/>
      <c r="B74" s="377" t="s">
        <v>311</v>
      </c>
      <c r="C74" s="243" t="s">
        <v>312</v>
      </c>
      <c r="D74" s="243">
        <v>0.02</v>
      </c>
      <c r="E74" s="246">
        <v>0.3636364</v>
      </c>
      <c r="F74" s="386"/>
      <c r="G74" s="235"/>
      <c r="H74" s="387"/>
      <c r="I74" s="377" t="s">
        <v>311</v>
      </c>
      <c r="J74" s="243" t="s">
        <v>312</v>
      </c>
      <c r="K74" s="243">
        <v>0.0728</v>
      </c>
      <c r="L74" s="246">
        <v>1.0</v>
      </c>
      <c r="M74" s="386"/>
      <c r="N74" s="235"/>
      <c r="O74" s="388"/>
      <c r="P74" s="388"/>
      <c r="Q74" s="388"/>
      <c r="R74" s="388"/>
      <c r="S74" s="388"/>
      <c r="T74" s="388"/>
      <c r="U74" s="388"/>
      <c r="V74" s="388"/>
      <c r="W74" s="388"/>
      <c r="X74" s="388"/>
      <c r="Y74" s="388"/>
    </row>
    <row r="75">
      <c r="A75" s="385"/>
      <c r="B75" s="377" t="s">
        <v>167</v>
      </c>
      <c r="C75" s="243">
        <v>3700.0</v>
      </c>
      <c r="D75" s="243">
        <v>967.8</v>
      </c>
      <c r="E75" s="246">
        <v>0.2615676</v>
      </c>
      <c r="F75" s="386"/>
      <c r="G75" s="235"/>
      <c r="H75" s="387"/>
      <c r="I75" s="377" t="s">
        <v>167</v>
      </c>
      <c r="J75" s="243">
        <v>3700.0</v>
      </c>
      <c r="K75" s="243">
        <v>475.6</v>
      </c>
      <c r="L75" s="246">
        <v>0.129</v>
      </c>
      <c r="M75" s="386"/>
      <c r="N75" s="235"/>
      <c r="O75" s="388"/>
      <c r="P75" s="388"/>
      <c r="Q75" s="388"/>
      <c r="R75" s="388"/>
      <c r="S75" s="388"/>
      <c r="T75" s="388"/>
      <c r="U75" s="388"/>
      <c r="V75" s="388"/>
      <c r="W75" s="388"/>
      <c r="X75" s="388"/>
      <c r="Y75" s="388"/>
    </row>
    <row r="76">
      <c r="A76" s="385"/>
      <c r="B76" s="377" t="s">
        <v>313</v>
      </c>
      <c r="C76" s="243">
        <v>38.0</v>
      </c>
      <c r="D76" s="243">
        <v>12.14</v>
      </c>
      <c r="E76" s="246">
        <v>0.3194737</v>
      </c>
      <c r="F76" s="386"/>
      <c r="G76" s="235"/>
      <c r="H76" s="387"/>
      <c r="I76" s="377" t="s">
        <v>313</v>
      </c>
      <c r="J76" s="243">
        <v>38.0</v>
      </c>
      <c r="K76" s="243">
        <v>17.0</v>
      </c>
      <c r="L76" s="246">
        <v>0.446</v>
      </c>
      <c r="M76" s="386"/>
      <c r="N76" s="235"/>
      <c r="O76" s="388"/>
      <c r="P76" s="388"/>
      <c r="Q76" s="388"/>
      <c r="R76" s="388"/>
      <c r="S76" s="388"/>
      <c r="T76" s="388"/>
      <c r="U76" s="388"/>
      <c r="V76" s="388"/>
      <c r="W76" s="388"/>
      <c r="X76" s="388"/>
      <c r="Y76" s="388"/>
    </row>
    <row r="77">
      <c r="A77" s="28"/>
    </row>
    <row r="78" ht="22.5" customHeight="1">
      <c r="A78" s="142"/>
      <c r="B78" s="261" t="s">
        <v>314</v>
      </c>
      <c r="C78" s="262"/>
      <c r="D78" s="262"/>
      <c r="E78" s="262"/>
      <c r="F78" s="262"/>
      <c r="G78" s="262"/>
      <c r="H78" s="262"/>
      <c r="I78" s="262"/>
      <c r="J78" s="262"/>
      <c r="K78" s="262"/>
      <c r="L78" s="262"/>
      <c r="M78" s="262"/>
      <c r="N78" s="263"/>
      <c r="O78" s="146"/>
      <c r="P78" s="146"/>
      <c r="Q78" s="146"/>
      <c r="R78" s="146"/>
      <c r="S78" s="146"/>
      <c r="T78" s="146"/>
      <c r="U78" s="146"/>
      <c r="V78" s="146"/>
      <c r="W78" s="146"/>
      <c r="X78" s="146"/>
      <c r="Y78" s="146"/>
    </row>
    <row r="79">
      <c r="A79" s="28"/>
      <c r="B79" s="264" t="s">
        <v>315</v>
      </c>
      <c r="C79" s="262"/>
      <c r="D79" s="262"/>
      <c r="E79" s="262"/>
      <c r="F79" s="262"/>
      <c r="G79" s="262"/>
      <c r="H79" s="262"/>
      <c r="I79" s="262"/>
      <c r="J79" s="262"/>
      <c r="K79" s="262"/>
      <c r="L79" s="262"/>
      <c r="M79" s="262"/>
      <c r="N79" s="263"/>
    </row>
    <row r="80">
      <c r="A80" s="28"/>
      <c r="B80" s="265" t="s">
        <v>316</v>
      </c>
      <c r="C80" s="266" t="s">
        <v>317</v>
      </c>
      <c r="D80" s="266" t="s">
        <v>318</v>
      </c>
      <c r="E80" s="267" t="s">
        <v>319</v>
      </c>
      <c r="F80" s="268" t="s">
        <v>320</v>
      </c>
      <c r="G80" s="269" t="s">
        <v>321</v>
      </c>
      <c r="H80" s="164"/>
      <c r="I80" s="270" t="s">
        <v>316</v>
      </c>
      <c r="J80" s="271" t="s">
        <v>317</v>
      </c>
      <c r="K80" s="271" t="s">
        <v>318</v>
      </c>
      <c r="L80" s="272" t="s">
        <v>319</v>
      </c>
      <c r="M80" s="273" t="s">
        <v>322</v>
      </c>
      <c r="N80" s="274" t="s">
        <v>323</v>
      </c>
    </row>
    <row r="81">
      <c r="A81" s="28"/>
      <c r="B81" s="275" t="s">
        <v>94</v>
      </c>
      <c r="C81" s="276" t="s">
        <v>324</v>
      </c>
      <c r="D81" s="277" t="s">
        <v>325</v>
      </c>
      <c r="E81" s="278">
        <v>3.0</v>
      </c>
      <c r="F81" s="279" t="str">
        <f t="shared" ref="F81:F89" si="2">IF(ISBLANK(E81),"— Belum diisi",IF(E81=1,"Sangat Tidak Sesuai",IF(E81=2,"Tidak Sesuai",IF(E81=3,"Cukup Sesuai",IF(E81=4,"Sesuai",IF(E81=5,"Sangat Sesuai","—"))))))</f>
        <v>Cukup Sesuai</v>
      </c>
      <c r="G81" s="280" t="s">
        <v>664</v>
      </c>
      <c r="H81" s="164"/>
      <c r="I81" s="281" t="s">
        <v>94</v>
      </c>
      <c r="J81" s="282" t="s">
        <v>324</v>
      </c>
      <c r="K81" s="283" t="s">
        <v>325</v>
      </c>
      <c r="L81" s="278">
        <v>3.0</v>
      </c>
      <c r="M81" s="285" t="str">
        <f t="shared" ref="M81:M89" si="3">IF(ISBLANK(L81),"— Belum diisi",IF(L81=1,"Sangat Tidak Sesuai",IF(L81=2,"Tidak Sesuai",IF(L81=3,"Cukup Sesuai",IF(L81=4,"Sesuai",IF(L81=5,"Sangat Sesuai","—"))))))</f>
        <v>Cukup Sesuai</v>
      </c>
      <c r="N81" s="280" t="s">
        <v>664</v>
      </c>
    </row>
    <row r="82">
      <c r="A82" s="28"/>
      <c r="B82" s="275" t="s">
        <v>95</v>
      </c>
      <c r="C82" s="286" t="s">
        <v>327</v>
      </c>
      <c r="D82" s="287" t="s">
        <v>328</v>
      </c>
      <c r="E82" s="278">
        <v>3.0</v>
      </c>
      <c r="F82" s="288" t="str">
        <f t="shared" si="2"/>
        <v>Cukup Sesuai</v>
      </c>
      <c r="G82" s="280" t="s">
        <v>665</v>
      </c>
      <c r="H82" s="164"/>
      <c r="I82" s="281" t="s">
        <v>95</v>
      </c>
      <c r="J82" s="286" t="s">
        <v>327</v>
      </c>
      <c r="K82" s="287" t="s">
        <v>328</v>
      </c>
      <c r="L82" s="278">
        <v>3.0</v>
      </c>
      <c r="M82" s="288" t="str">
        <f t="shared" si="3"/>
        <v>Cukup Sesuai</v>
      </c>
      <c r="N82" s="280" t="s">
        <v>665</v>
      </c>
    </row>
    <row r="83">
      <c r="A83" s="28"/>
      <c r="B83" s="275" t="s">
        <v>96</v>
      </c>
      <c r="C83" s="276" t="s">
        <v>330</v>
      </c>
      <c r="D83" s="277" t="s">
        <v>331</v>
      </c>
      <c r="E83" s="278">
        <v>3.0</v>
      </c>
      <c r="F83" s="279" t="str">
        <f t="shared" si="2"/>
        <v>Cukup Sesuai</v>
      </c>
      <c r="G83" s="278" t="s">
        <v>666</v>
      </c>
      <c r="H83" s="164"/>
      <c r="I83" s="281" t="s">
        <v>96</v>
      </c>
      <c r="J83" s="282" t="s">
        <v>330</v>
      </c>
      <c r="K83" s="289" t="s">
        <v>331</v>
      </c>
      <c r="L83" s="278">
        <v>3.0</v>
      </c>
      <c r="M83" s="290" t="str">
        <f t="shared" si="3"/>
        <v>Cukup Sesuai</v>
      </c>
      <c r="N83" s="280" t="s">
        <v>666</v>
      </c>
    </row>
    <row r="84">
      <c r="A84" s="28"/>
      <c r="B84" s="275" t="s">
        <v>97</v>
      </c>
      <c r="C84" s="286" t="s">
        <v>334</v>
      </c>
      <c r="D84" s="287" t="s">
        <v>335</v>
      </c>
      <c r="E84" s="278">
        <v>3.0</v>
      </c>
      <c r="F84" s="288" t="str">
        <f t="shared" si="2"/>
        <v>Cukup Sesuai</v>
      </c>
      <c r="G84" s="280" t="s">
        <v>667</v>
      </c>
      <c r="H84" s="164"/>
      <c r="I84" s="281" t="s">
        <v>97</v>
      </c>
      <c r="J84" s="286" t="s">
        <v>334</v>
      </c>
      <c r="K84" s="287" t="s">
        <v>335</v>
      </c>
      <c r="L84" s="278">
        <v>3.0</v>
      </c>
      <c r="M84" s="288" t="str">
        <f t="shared" si="3"/>
        <v>Cukup Sesuai</v>
      </c>
      <c r="N84" s="280" t="s">
        <v>667</v>
      </c>
    </row>
    <row r="85">
      <c r="A85" s="28"/>
      <c r="B85" s="275" t="s">
        <v>98</v>
      </c>
      <c r="C85" s="276" t="s">
        <v>336</v>
      </c>
      <c r="D85" s="277" t="s">
        <v>337</v>
      </c>
      <c r="E85" s="278">
        <v>3.0</v>
      </c>
      <c r="F85" s="279" t="str">
        <f t="shared" si="2"/>
        <v>Cukup Sesuai</v>
      </c>
      <c r="G85" s="278" t="s">
        <v>668</v>
      </c>
      <c r="H85" s="164"/>
      <c r="I85" s="281" t="s">
        <v>98</v>
      </c>
      <c r="J85" s="282" t="s">
        <v>336</v>
      </c>
      <c r="K85" s="289" t="s">
        <v>337</v>
      </c>
      <c r="L85" s="278">
        <v>3.0</v>
      </c>
      <c r="M85" s="290" t="str">
        <f t="shared" si="3"/>
        <v>Cukup Sesuai</v>
      </c>
      <c r="N85" s="280" t="s">
        <v>668</v>
      </c>
    </row>
    <row r="86">
      <c r="A86" s="28"/>
      <c r="B86" s="291" t="s">
        <v>99</v>
      </c>
      <c r="C86" s="286" t="s">
        <v>339</v>
      </c>
      <c r="D86" s="287" t="s">
        <v>340</v>
      </c>
      <c r="E86" s="278">
        <v>3.0</v>
      </c>
      <c r="F86" s="288" t="str">
        <f t="shared" si="2"/>
        <v>Cukup Sesuai</v>
      </c>
      <c r="G86" s="280" t="s">
        <v>669</v>
      </c>
      <c r="H86" s="164"/>
      <c r="I86" s="292" t="s">
        <v>99</v>
      </c>
      <c r="J86" s="286" t="s">
        <v>339</v>
      </c>
      <c r="K86" s="287" t="s">
        <v>340</v>
      </c>
      <c r="L86" s="278">
        <v>3.0</v>
      </c>
      <c r="M86" s="288" t="str">
        <f t="shared" si="3"/>
        <v>Cukup Sesuai</v>
      </c>
      <c r="N86" s="280" t="s">
        <v>669</v>
      </c>
    </row>
    <row r="87">
      <c r="A87" s="28"/>
      <c r="B87" s="293" t="s">
        <v>100</v>
      </c>
      <c r="C87" s="276" t="s">
        <v>343</v>
      </c>
      <c r="D87" s="277" t="s">
        <v>344</v>
      </c>
      <c r="E87" s="278">
        <v>3.0</v>
      </c>
      <c r="F87" s="279" t="str">
        <f t="shared" si="2"/>
        <v>Cukup Sesuai</v>
      </c>
      <c r="G87" s="280" t="s">
        <v>345</v>
      </c>
      <c r="H87" s="164"/>
      <c r="I87" s="294" t="s">
        <v>100</v>
      </c>
      <c r="J87" s="282" t="s">
        <v>343</v>
      </c>
      <c r="K87" s="289" t="s">
        <v>344</v>
      </c>
      <c r="L87" s="278">
        <v>3.0</v>
      </c>
      <c r="M87" s="290" t="str">
        <f t="shared" si="3"/>
        <v>Cukup Sesuai</v>
      </c>
      <c r="N87" s="280" t="s">
        <v>345</v>
      </c>
    </row>
    <row r="88">
      <c r="A88" s="28"/>
      <c r="B88" s="295" t="s">
        <v>101</v>
      </c>
      <c r="C88" s="286" t="s">
        <v>346</v>
      </c>
      <c r="D88" s="287" t="s">
        <v>347</v>
      </c>
      <c r="E88" s="278">
        <v>3.0</v>
      </c>
      <c r="F88" s="288" t="str">
        <f t="shared" si="2"/>
        <v>Cukup Sesuai</v>
      </c>
      <c r="G88" s="280" t="s">
        <v>670</v>
      </c>
      <c r="H88" s="164"/>
      <c r="I88" s="296" t="s">
        <v>101</v>
      </c>
      <c r="J88" s="286" t="s">
        <v>346</v>
      </c>
      <c r="K88" s="287" t="s">
        <v>347</v>
      </c>
      <c r="L88" s="278">
        <v>4.0</v>
      </c>
      <c r="M88" s="288" t="str">
        <f t="shared" si="3"/>
        <v>Sesuai</v>
      </c>
      <c r="N88" s="297"/>
    </row>
    <row r="89">
      <c r="A89" s="28"/>
      <c r="B89" s="298" t="s">
        <v>102</v>
      </c>
      <c r="C89" s="276" t="s">
        <v>349</v>
      </c>
      <c r="D89" s="277" t="s">
        <v>350</v>
      </c>
      <c r="E89" s="278">
        <v>4.0</v>
      </c>
      <c r="F89" s="279" t="str">
        <f t="shared" si="2"/>
        <v>Sesuai</v>
      </c>
      <c r="G89" s="297"/>
      <c r="H89" s="164"/>
      <c r="I89" s="299" t="s">
        <v>102</v>
      </c>
      <c r="J89" s="282" t="s">
        <v>349</v>
      </c>
      <c r="K89" s="289" t="s">
        <v>350</v>
      </c>
      <c r="L89" s="278">
        <v>4.0</v>
      </c>
      <c r="M89" s="290" t="str">
        <f t="shared" si="3"/>
        <v>Sesuai</v>
      </c>
      <c r="N89" s="297"/>
    </row>
    <row r="90">
      <c r="A90" s="28"/>
      <c r="B90" s="300" t="s">
        <v>351</v>
      </c>
      <c r="C90" s="301"/>
      <c r="D90" s="27"/>
      <c r="E90" s="302">
        <f>IFERROR(AVERAGE(E81,E82,E83,E84,E85,E86,E87,E88,E89),"—")</f>
        <v>3.111111111</v>
      </c>
      <c r="F90" s="303" t="str">
        <f>IF(ISNUMBER(E90),IF(E90&lt;2,"Sangat Tidak Sesuai",IF(E90&lt;3,"Tidak Sesuai",IF(E90&lt;4,"Cukup Sesuai",IF(E90&lt;4.6,"Sesuai","Sangat Sesuai")))),"—")</f>
        <v>Cukup Sesuai</v>
      </c>
      <c r="G90" s="3"/>
      <c r="H90" s="164"/>
      <c r="I90" s="304" t="s">
        <v>351</v>
      </c>
      <c r="J90" s="301"/>
      <c r="K90" s="27"/>
      <c r="L90" s="294">
        <f>IFERROR(AVERAGE(L81,L82,L83,L84,L85,L86,L87,L88,L89),"—")</f>
        <v>3.222222222</v>
      </c>
      <c r="M90" s="305" t="str">
        <f>IF(ISNUMBER(L90),IF(L90&lt;2,"Sangat Tidak Sesuai",IF(L90&lt;3,"Tidak Sesuai",IF(L90&lt;4,"Cukup Sesuai",IF(L90&lt;4.6,"Sesuai","Sangat Sesuai")))),"—")</f>
        <v>Cukup Sesuai</v>
      </c>
      <c r="N90" s="3"/>
    </row>
    <row r="91">
      <c r="A91" s="28"/>
      <c r="B91" s="306"/>
    </row>
    <row r="92" ht="22.5" customHeight="1">
      <c r="A92" s="142"/>
      <c r="B92" s="307" t="s">
        <v>352</v>
      </c>
      <c r="C92" s="170"/>
      <c r="D92" s="170"/>
      <c r="E92" s="170"/>
      <c r="F92" s="170"/>
      <c r="G92" s="170"/>
      <c r="H92" s="170"/>
      <c r="I92" s="170"/>
      <c r="J92" s="170"/>
      <c r="K92" s="170"/>
      <c r="L92" s="170"/>
      <c r="M92" s="170"/>
      <c r="N92" s="308"/>
      <c r="O92" s="146"/>
      <c r="P92" s="146"/>
      <c r="Q92" s="146"/>
      <c r="R92" s="146"/>
      <c r="S92" s="146"/>
      <c r="T92" s="146"/>
      <c r="U92" s="146"/>
      <c r="V92" s="146"/>
      <c r="W92" s="146"/>
      <c r="X92" s="146"/>
      <c r="Y92" s="146"/>
    </row>
    <row r="93" ht="25.5" customHeight="1">
      <c r="A93" s="147"/>
      <c r="B93" s="309" t="s">
        <v>353</v>
      </c>
      <c r="C93" s="310"/>
      <c r="D93" s="310"/>
      <c r="E93" s="310"/>
      <c r="F93" s="310"/>
      <c r="G93" s="311"/>
      <c r="H93" s="312"/>
      <c r="I93" s="313" t="s">
        <v>354</v>
      </c>
      <c r="J93" s="30"/>
      <c r="K93" s="30"/>
      <c r="L93" s="30"/>
      <c r="M93" s="30"/>
      <c r="N93" s="3"/>
      <c r="O93" s="153"/>
      <c r="P93" s="153"/>
      <c r="Q93" s="153"/>
      <c r="R93" s="153"/>
      <c r="S93" s="153"/>
      <c r="T93" s="153"/>
      <c r="U93" s="153"/>
      <c r="V93" s="153"/>
      <c r="W93" s="153"/>
      <c r="X93" s="153"/>
      <c r="Y93" s="153"/>
    </row>
    <row r="94">
      <c r="A94" s="28"/>
      <c r="B94" s="314" t="s">
        <v>355</v>
      </c>
      <c r="C94" s="315"/>
      <c r="D94" s="315"/>
      <c r="E94" s="315"/>
      <c r="F94" s="315"/>
      <c r="G94" s="316"/>
      <c r="H94" s="260"/>
      <c r="I94" s="317" t="s">
        <v>355</v>
      </c>
      <c r="J94" s="30"/>
      <c r="K94" s="30"/>
      <c r="L94" s="30"/>
      <c r="M94" s="30"/>
      <c r="N94" s="3"/>
    </row>
    <row r="95">
      <c r="A95" s="28"/>
      <c r="B95" s="318" t="s">
        <v>356</v>
      </c>
      <c r="H95" s="260"/>
      <c r="I95" s="319" t="s">
        <v>356</v>
      </c>
      <c r="J95" s="30"/>
      <c r="K95" s="30"/>
      <c r="L95" s="30"/>
      <c r="M95" s="30"/>
      <c r="N95" s="3"/>
    </row>
    <row r="96">
      <c r="A96" s="28"/>
      <c r="B96" s="320" t="s">
        <v>671</v>
      </c>
      <c r="G96" s="321"/>
      <c r="H96" s="322"/>
      <c r="I96" s="323" t="s">
        <v>671</v>
      </c>
      <c r="J96" s="324"/>
      <c r="K96" s="324"/>
      <c r="L96" s="324"/>
      <c r="M96" s="324"/>
      <c r="N96" s="325"/>
    </row>
    <row r="97">
      <c r="A97" s="28"/>
      <c r="B97" s="326"/>
      <c r="G97" s="321"/>
      <c r="H97" s="322"/>
      <c r="I97" s="327"/>
      <c r="N97" s="328"/>
    </row>
    <row r="98">
      <c r="A98" s="28"/>
      <c r="B98" s="326"/>
      <c r="G98" s="321"/>
      <c r="H98" s="322"/>
      <c r="I98" s="327"/>
      <c r="N98" s="328"/>
    </row>
    <row r="99">
      <c r="A99" s="28"/>
      <c r="B99" s="329"/>
      <c r="C99" s="330"/>
      <c r="D99" s="330"/>
      <c r="E99" s="330"/>
      <c r="F99" s="330"/>
      <c r="G99" s="331"/>
      <c r="H99" s="322"/>
      <c r="I99" s="332"/>
      <c r="J99" s="333"/>
      <c r="K99" s="333"/>
      <c r="L99" s="333"/>
      <c r="M99" s="333"/>
      <c r="N99" s="334"/>
    </row>
    <row r="100">
      <c r="A100" s="28"/>
      <c r="B100" s="28"/>
      <c r="C100" s="28"/>
      <c r="D100" s="28"/>
      <c r="E100" s="28"/>
      <c r="F100" s="28"/>
      <c r="G100" s="28"/>
    </row>
    <row r="101">
      <c r="A101" s="28"/>
      <c r="B101" s="335" t="s">
        <v>358</v>
      </c>
      <c r="C101" s="144"/>
      <c r="D101" s="144"/>
      <c r="E101" s="144"/>
      <c r="F101" s="144"/>
      <c r="G101" s="145"/>
      <c r="H101" s="164"/>
      <c r="I101" s="336" t="s">
        <v>358</v>
      </c>
      <c r="J101" s="30"/>
      <c r="K101" s="30"/>
      <c r="L101" s="30"/>
      <c r="M101" s="30"/>
      <c r="N101" s="3"/>
    </row>
    <row r="102">
      <c r="A102" s="28"/>
      <c r="B102" s="337" t="s">
        <v>359</v>
      </c>
      <c r="H102" s="260"/>
      <c r="I102" s="338" t="s">
        <v>359</v>
      </c>
      <c r="J102" s="30"/>
      <c r="K102" s="30"/>
      <c r="L102" s="30"/>
      <c r="M102" s="30"/>
      <c r="N102" s="3"/>
    </row>
    <row r="103">
      <c r="A103" s="28"/>
      <c r="B103" s="339" t="s">
        <v>613</v>
      </c>
      <c r="G103" s="328"/>
      <c r="H103" s="340"/>
      <c r="I103" s="341" t="s">
        <v>613</v>
      </c>
      <c r="J103" s="324"/>
      <c r="K103" s="324"/>
      <c r="L103" s="324"/>
      <c r="M103" s="324"/>
      <c r="N103" s="325"/>
    </row>
    <row r="104">
      <c r="A104" s="28"/>
      <c r="B104" s="342"/>
      <c r="G104" s="328"/>
      <c r="H104" s="340"/>
      <c r="I104" s="327"/>
      <c r="N104" s="328"/>
    </row>
    <row r="105">
      <c r="A105" s="28"/>
      <c r="B105" s="342"/>
      <c r="G105" s="328"/>
      <c r="H105" s="340"/>
      <c r="I105" s="327"/>
      <c r="N105" s="328"/>
    </row>
    <row r="106">
      <c r="A106" s="28"/>
      <c r="B106" s="343"/>
      <c r="C106" s="163"/>
      <c r="D106" s="163"/>
      <c r="E106" s="163"/>
      <c r="F106" s="163"/>
      <c r="G106" s="344"/>
      <c r="H106" s="340"/>
      <c r="I106" s="332"/>
      <c r="J106" s="333"/>
      <c r="K106" s="333"/>
      <c r="L106" s="333"/>
      <c r="M106" s="333"/>
      <c r="N106" s="334"/>
    </row>
    <row r="107">
      <c r="A107" s="28"/>
    </row>
    <row r="108">
      <c r="A108" s="28"/>
      <c r="B108" s="345" t="s">
        <v>361</v>
      </c>
      <c r="C108" s="30"/>
      <c r="D108" s="30"/>
      <c r="E108" s="30"/>
      <c r="F108" s="30"/>
      <c r="G108" s="3"/>
      <c r="H108" s="164"/>
      <c r="I108" s="346" t="s">
        <v>361</v>
      </c>
      <c r="J108" s="30"/>
      <c r="K108" s="30"/>
      <c r="L108" s="30"/>
      <c r="M108" s="30"/>
      <c r="N108" s="3"/>
    </row>
    <row r="109">
      <c r="A109" s="28"/>
      <c r="B109" s="347" t="s">
        <v>362</v>
      </c>
      <c r="C109" s="30"/>
      <c r="D109" s="30"/>
      <c r="E109" s="30"/>
      <c r="F109" s="30"/>
      <c r="G109" s="3"/>
      <c r="H109" s="164"/>
      <c r="I109" s="348" t="s">
        <v>362</v>
      </c>
      <c r="J109" s="30"/>
      <c r="K109" s="30"/>
      <c r="L109" s="30"/>
      <c r="M109" s="30"/>
      <c r="N109" s="3"/>
    </row>
    <row r="110">
      <c r="A110" s="28"/>
      <c r="B110" s="349" t="s">
        <v>363</v>
      </c>
      <c r="C110" s="324"/>
      <c r="D110" s="324"/>
      <c r="E110" s="324"/>
      <c r="F110" s="324"/>
      <c r="G110" s="325"/>
      <c r="H110" s="340"/>
      <c r="I110" s="350" t="s">
        <v>363</v>
      </c>
      <c r="J110" s="324"/>
      <c r="K110" s="324"/>
      <c r="L110" s="324"/>
      <c r="M110" s="324"/>
      <c r="N110" s="325"/>
    </row>
    <row r="111">
      <c r="A111" s="28"/>
      <c r="B111" s="327"/>
      <c r="G111" s="328"/>
      <c r="H111" s="340"/>
      <c r="I111" s="327"/>
      <c r="N111" s="328"/>
    </row>
    <row r="112">
      <c r="A112" s="28"/>
      <c r="B112" s="327"/>
      <c r="G112" s="328"/>
      <c r="H112" s="340"/>
      <c r="I112" s="327"/>
      <c r="N112" s="328"/>
    </row>
    <row r="113">
      <c r="A113" s="28"/>
      <c r="B113" s="332"/>
      <c r="C113" s="333"/>
      <c r="D113" s="333"/>
      <c r="E113" s="333"/>
      <c r="F113" s="333"/>
      <c r="G113" s="334"/>
      <c r="H113" s="340"/>
      <c r="I113" s="332"/>
      <c r="J113" s="333"/>
      <c r="K113" s="333"/>
      <c r="L113" s="333"/>
      <c r="M113" s="333"/>
      <c r="N113" s="334"/>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sheetData>
  <mergeCells count="132">
    <mergeCell ref="F41:G41"/>
    <mergeCell ref="F42:G42"/>
    <mergeCell ref="F43:G43"/>
    <mergeCell ref="F44:G44"/>
    <mergeCell ref="F45:G45"/>
    <mergeCell ref="F46:G46"/>
    <mergeCell ref="F47:G47"/>
    <mergeCell ref="F48:G48"/>
    <mergeCell ref="F49:G49"/>
    <mergeCell ref="F50:G50"/>
    <mergeCell ref="F51:G51"/>
    <mergeCell ref="F52:G52"/>
    <mergeCell ref="F56:G56"/>
    <mergeCell ref="F57:G57"/>
    <mergeCell ref="F58:G58"/>
    <mergeCell ref="F59:G59"/>
    <mergeCell ref="F60:G60"/>
    <mergeCell ref="F61:G61"/>
    <mergeCell ref="F62:G62"/>
    <mergeCell ref="F63:G63"/>
    <mergeCell ref="F64:G64"/>
    <mergeCell ref="F72:G72"/>
    <mergeCell ref="F73:G73"/>
    <mergeCell ref="F74:G74"/>
    <mergeCell ref="F75:G75"/>
    <mergeCell ref="F76:G76"/>
    <mergeCell ref="F65:G65"/>
    <mergeCell ref="F66:G66"/>
    <mergeCell ref="F67:G67"/>
    <mergeCell ref="F68:G68"/>
    <mergeCell ref="F69:G69"/>
    <mergeCell ref="F70:G70"/>
    <mergeCell ref="F71:G71"/>
    <mergeCell ref="M49:N49"/>
    <mergeCell ref="M50:N50"/>
    <mergeCell ref="M51:N51"/>
    <mergeCell ref="M52:N52"/>
    <mergeCell ref="B54:N54"/>
    <mergeCell ref="B55:G55"/>
    <mergeCell ref="I55:N55"/>
    <mergeCell ref="M56:N56"/>
    <mergeCell ref="M57:N57"/>
    <mergeCell ref="M58:N58"/>
    <mergeCell ref="M59:N59"/>
    <mergeCell ref="M60:N60"/>
    <mergeCell ref="M61:N61"/>
    <mergeCell ref="M62:N62"/>
    <mergeCell ref="M63:N63"/>
    <mergeCell ref="M64:N64"/>
    <mergeCell ref="M65:N65"/>
    <mergeCell ref="M66:N66"/>
    <mergeCell ref="M67:N67"/>
    <mergeCell ref="M68:N68"/>
    <mergeCell ref="M69:N69"/>
    <mergeCell ref="M70:N70"/>
    <mergeCell ref="M71:N71"/>
    <mergeCell ref="M72:N72"/>
    <mergeCell ref="M73:N73"/>
    <mergeCell ref="M74:N74"/>
    <mergeCell ref="M75:N75"/>
    <mergeCell ref="M76:N76"/>
    <mergeCell ref="B78:N78"/>
    <mergeCell ref="B79:N79"/>
    <mergeCell ref="B90:D90"/>
    <mergeCell ref="F90:G90"/>
    <mergeCell ref="I90:K90"/>
    <mergeCell ref="M90:N90"/>
    <mergeCell ref="B92:N92"/>
    <mergeCell ref="B96:G99"/>
    <mergeCell ref="B101:G101"/>
    <mergeCell ref="B102:G102"/>
    <mergeCell ref="B103:G106"/>
    <mergeCell ref="B108:G108"/>
    <mergeCell ref="B109:G109"/>
    <mergeCell ref="B110:G113"/>
    <mergeCell ref="I101:N101"/>
    <mergeCell ref="I102:N102"/>
    <mergeCell ref="I103:N106"/>
    <mergeCell ref="I108:N108"/>
    <mergeCell ref="I109:N109"/>
    <mergeCell ref="I110:N113"/>
    <mergeCell ref="B93:G93"/>
    <mergeCell ref="I93:N93"/>
    <mergeCell ref="B94:G94"/>
    <mergeCell ref="I94:N94"/>
    <mergeCell ref="B95:G95"/>
    <mergeCell ref="I95:N95"/>
    <mergeCell ref="I96:N99"/>
    <mergeCell ref="I15:N15"/>
    <mergeCell ref="M16:N16"/>
    <mergeCell ref="B2:N2"/>
    <mergeCell ref="B3:N3"/>
    <mergeCell ref="B5:C5"/>
    <mergeCell ref="D5:E5"/>
    <mergeCell ref="B14:N14"/>
    <mergeCell ref="B15:G15"/>
    <mergeCell ref="F16:G16"/>
    <mergeCell ref="F21:G21"/>
    <mergeCell ref="F22:G22"/>
    <mergeCell ref="F23:G23"/>
    <mergeCell ref="F25:G25"/>
    <mergeCell ref="F26:G26"/>
    <mergeCell ref="F27:G27"/>
    <mergeCell ref="F29:G29"/>
    <mergeCell ref="F17:G17"/>
    <mergeCell ref="M17:N17"/>
    <mergeCell ref="F18:G18"/>
    <mergeCell ref="M18:N18"/>
    <mergeCell ref="F19:G19"/>
    <mergeCell ref="M19:N19"/>
    <mergeCell ref="M21:N21"/>
    <mergeCell ref="M22:N22"/>
    <mergeCell ref="M23:N23"/>
    <mergeCell ref="M25:N25"/>
    <mergeCell ref="M26:N26"/>
    <mergeCell ref="M27:N27"/>
    <mergeCell ref="M29:N29"/>
    <mergeCell ref="B31:N31"/>
    <mergeCell ref="B32:G32"/>
    <mergeCell ref="I32:N32"/>
    <mergeCell ref="M33:N33"/>
    <mergeCell ref="B39:N39"/>
    <mergeCell ref="B40:G40"/>
    <mergeCell ref="I40:N40"/>
    <mergeCell ref="M41:N41"/>
    <mergeCell ref="M42:N42"/>
    <mergeCell ref="M43:N43"/>
    <mergeCell ref="M44:N44"/>
    <mergeCell ref="M45:N45"/>
    <mergeCell ref="M46:N46"/>
    <mergeCell ref="M47:N47"/>
    <mergeCell ref="M48:N48"/>
  </mergeCells>
  <conditionalFormatting sqref="E42:E52 E57:E76 L57:L76 L42:L52">
    <cfRule type="cellIs" dxfId="2" priority="1" operator="greaterThan">
      <formula>"100%"</formula>
    </cfRule>
  </conditionalFormatting>
  <conditionalFormatting sqref="E42:E52 E57:E76 L57:L76 L42:L52">
    <cfRule type="cellIs" dxfId="1" priority="2" operator="lessThan">
      <formula>"100%"</formula>
    </cfRule>
  </conditionalFormatting>
  <conditionalFormatting sqref="E57:E76 E42:E52">
    <cfRule type="cellIs" dxfId="3" priority="3" operator="equal">
      <formula>"100%"</formula>
    </cfRule>
  </conditionalFormatting>
  <conditionalFormatting sqref="L42:L52 L57:L76">
    <cfRule type="cellIs" dxfId="0" priority="4" operator="equal">
      <formula>"100%"</formula>
    </cfRule>
  </conditionalFormatting>
  <dataValidations>
    <dataValidation type="list" allowBlank="1" showInputMessage="1" showErrorMessage="1" prompt="Nilai Tidak Valid - Silakan pilih nilai 1–5 dari dropdown." sqref="E81:E89 L81:L89">
      <formula1>"1,2,3,4,5"</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
    <col customWidth="1" min="2" max="2" width="26.0"/>
    <col customWidth="1" min="3" max="3" width="24.0"/>
    <col customWidth="1" min="4" max="4" width="24.71"/>
    <col customWidth="1" min="5" max="5" width="28.14"/>
    <col customWidth="1" min="6" max="6" width="18.0"/>
    <col customWidth="1" min="7" max="7" width="28.0"/>
    <col customWidth="1" min="9" max="9" width="28.14"/>
    <col customWidth="1" min="10" max="10" width="18.29"/>
    <col customWidth="1" min="11" max="11" width="22.29"/>
    <col customWidth="1" min="12" max="12" width="19.71"/>
  </cols>
  <sheetData>
    <row r="1">
      <c r="A1" s="28"/>
      <c r="B1" s="28"/>
      <c r="C1" s="28"/>
      <c r="D1" s="28"/>
      <c r="E1" s="28"/>
      <c r="F1" s="28"/>
      <c r="G1" s="28"/>
    </row>
    <row r="2" ht="26.25" customHeight="1">
      <c r="A2" s="351"/>
      <c r="B2" s="352" t="s">
        <v>672</v>
      </c>
      <c r="C2" s="30"/>
      <c r="D2" s="30"/>
      <c r="E2" s="30"/>
      <c r="F2" s="30"/>
      <c r="G2" s="30"/>
      <c r="H2" s="30"/>
      <c r="I2" s="30"/>
      <c r="J2" s="30"/>
      <c r="K2" s="30"/>
      <c r="L2" s="30"/>
      <c r="M2" s="30"/>
      <c r="N2" s="3"/>
      <c r="O2" s="353"/>
      <c r="P2" s="353"/>
      <c r="Q2" s="353"/>
      <c r="R2" s="353"/>
      <c r="S2" s="353"/>
      <c r="T2" s="353"/>
      <c r="U2" s="353"/>
      <c r="V2" s="353"/>
      <c r="W2" s="353"/>
      <c r="X2" s="353"/>
      <c r="Y2" s="353"/>
    </row>
    <row r="3">
      <c r="A3" s="28"/>
      <c r="B3" s="133" t="s">
        <v>673</v>
      </c>
      <c r="C3" s="30"/>
      <c r="D3" s="30"/>
      <c r="E3" s="30"/>
      <c r="F3" s="30"/>
      <c r="G3" s="30"/>
      <c r="H3" s="30"/>
      <c r="I3" s="30"/>
      <c r="J3" s="30"/>
      <c r="K3" s="30"/>
      <c r="L3" s="30"/>
      <c r="M3" s="30"/>
      <c r="N3" s="3"/>
    </row>
    <row r="4">
      <c r="A4" s="28"/>
      <c r="B4" s="28"/>
      <c r="C4" s="28"/>
      <c r="D4" s="28"/>
      <c r="E4" s="28"/>
      <c r="F4" s="28"/>
      <c r="G4" s="28"/>
    </row>
    <row r="5" ht="22.5" customHeight="1">
      <c r="A5" s="142"/>
      <c r="B5" s="134" t="s">
        <v>146</v>
      </c>
      <c r="C5" s="27"/>
      <c r="D5" s="134" t="s">
        <v>147</v>
      </c>
      <c r="E5" s="27"/>
      <c r="F5" s="142"/>
      <c r="G5" s="142"/>
      <c r="H5" s="146"/>
      <c r="I5" s="146"/>
      <c r="J5" s="146"/>
      <c r="K5" s="146"/>
      <c r="L5" s="146"/>
      <c r="M5" s="146"/>
      <c r="N5" s="146"/>
      <c r="O5" s="146"/>
      <c r="P5" s="146"/>
      <c r="Q5" s="146"/>
      <c r="R5" s="146"/>
      <c r="S5" s="146"/>
      <c r="T5" s="146"/>
      <c r="U5" s="146"/>
      <c r="V5" s="146"/>
      <c r="W5" s="146"/>
      <c r="X5" s="146"/>
      <c r="Y5" s="146"/>
    </row>
    <row r="6">
      <c r="A6" s="28"/>
      <c r="B6" s="135" t="s">
        <v>148</v>
      </c>
      <c r="C6" s="136">
        <v>55.0</v>
      </c>
      <c r="D6" s="135" t="s">
        <v>149</v>
      </c>
      <c r="E6" s="138" t="s">
        <v>674</v>
      </c>
      <c r="F6" s="28"/>
      <c r="G6" s="28"/>
    </row>
    <row r="7">
      <c r="A7" s="28"/>
      <c r="B7" s="139" t="s">
        <v>150</v>
      </c>
      <c r="C7" s="136" t="s">
        <v>675</v>
      </c>
      <c r="D7" s="139" t="s">
        <v>152</v>
      </c>
      <c r="E7" s="138" t="s">
        <v>676</v>
      </c>
      <c r="F7" s="28"/>
      <c r="G7" s="28"/>
    </row>
    <row r="8">
      <c r="A8" s="28"/>
      <c r="B8" s="135" t="s">
        <v>154</v>
      </c>
      <c r="C8" s="136">
        <v>83.0</v>
      </c>
      <c r="D8" s="135" t="s">
        <v>155</v>
      </c>
      <c r="E8" s="138" t="s">
        <v>677</v>
      </c>
      <c r="F8" s="28"/>
      <c r="G8" s="28"/>
    </row>
    <row r="9">
      <c r="A9" s="28"/>
      <c r="B9" s="139" t="s">
        <v>157</v>
      </c>
      <c r="C9" s="136">
        <v>162.0</v>
      </c>
      <c r="D9" s="139" t="s">
        <v>158</v>
      </c>
      <c r="E9" s="138" t="s">
        <v>678</v>
      </c>
      <c r="F9" s="28"/>
      <c r="G9" s="28"/>
    </row>
    <row r="10">
      <c r="A10" s="28"/>
      <c r="B10" s="135" t="s">
        <v>160</v>
      </c>
      <c r="C10" s="136" t="s">
        <v>679</v>
      </c>
      <c r="D10" s="135" t="s">
        <v>162</v>
      </c>
      <c r="E10" s="138" t="s">
        <v>680</v>
      </c>
      <c r="F10" s="28"/>
      <c r="G10" s="28"/>
    </row>
    <row r="11">
      <c r="A11" s="28"/>
      <c r="B11" s="139" t="s">
        <v>93</v>
      </c>
      <c r="C11" s="136" t="s">
        <v>681</v>
      </c>
      <c r="D11" s="139" t="s">
        <v>165</v>
      </c>
      <c r="E11" s="138" t="s">
        <v>682</v>
      </c>
      <c r="F11" s="28"/>
      <c r="G11" s="28"/>
    </row>
    <row r="12">
      <c r="A12" s="28"/>
      <c r="B12" s="141"/>
      <c r="C12" s="141"/>
      <c r="D12" s="135" t="s">
        <v>167</v>
      </c>
      <c r="E12" s="138" t="s">
        <v>683</v>
      </c>
      <c r="F12" s="28"/>
      <c r="G12" s="28"/>
    </row>
    <row r="13">
      <c r="A13" s="28"/>
      <c r="B13" s="28"/>
      <c r="C13" s="28"/>
      <c r="D13" s="28"/>
      <c r="E13" s="28"/>
      <c r="F13" s="28"/>
      <c r="G13" s="28"/>
    </row>
    <row r="14" ht="22.5" customHeight="1">
      <c r="A14" s="142"/>
      <c r="B14" s="143" t="s">
        <v>169</v>
      </c>
      <c r="C14" s="144"/>
      <c r="D14" s="144"/>
      <c r="E14" s="144"/>
      <c r="F14" s="144"/>
      <c r="G14" s="144"/>
      <c r="H14" s="144"/>
      <c r="I14" s="144"/>
      <c r="J14" s="144"/>
      <c r="K14" s="144"/>
      <c r="L14" s="144"/>
      <c r="M14" s="144"/>
      <c r="N14" s="145"/>
      <c r="O14" s="146"/>
      <c r="P14" s="146"/>
      <c r="Q14" s="146"/>
      <c r="R14" s="146"/>
      <c r="S14" s="146"/>
      <c r="T14" s="146"/>
      <c r="U14" s="146"/>
      <c r="V14" s="146"/>
      <c r="W14" s="146"/>
      <c r="X14" s="146"/>
      <c r="Y14" s="146"/>
    </row>
    <row r="15" ht="24.75" customHeight="1">
      <c r="A15" s="407"/>
      <c r="B15" s="428" t="s">
        <v>170</v>
      </c>
      <c r="C15" s="149"/>
      <c r="D15" s="149"/>
      <c r="E15" s="149"/>
      <c r="F15" s="149"/>
      <c r="G15" s="150"/>
      <c r="H15" s="429"/>
      <c r="I15" s="430" t="s">
        <v>171</v>
      </c>
      <c r="J15" s="149"/>
      <c r="K15" s="149"/>
      <c r="L15" s="149"/>
      <c r="M15" s="149"/>
      <c r="N15" s="150"/>
      <c r="O15" s="409"/>
      <c r="P15" s="409"/>
      <c r="Q15" s="409"/>
      <c r="R15" s="409"/>
      <c r="S15" s="409"/>
      <c r="T15" s="409"/>
      <c r="U15" s="409"/>
      <c r="V15" s="409"/>
      <c r="W15" s="409"/>
      <c r="X15" s="409"/>
      <c r="Y15" s="409"/>
    </row>
    <row r="16">
      <c r="A16" s="28"/>
      <c r="B16" s="154" t="s">
        <v>172</v>
      </c>
      <c r="C16" s="154" t="s">
        <v>173</v>
      </c>
      <c r="D16" s="154" t="s">
        <v>174</v>
      </c>
      <c r="E16" s="154" t="s">
        <v>175</v>
      </c>
      <c r="F16" s="155" t="s">
        <v>371</v>
      </c>
      <c r="G16" s="150"/>
      <c r="H16" s="156"/>
      <c r="I16" s="157" t="s">
        <v>172</v>
      </c>
      <c r="J16" s="157" t="s">
        <v>173</v>
      </c>
      <c r="K16" s="157" t="s">
        <v>174</v>
      </c>
      <c r="L16" s="157" t="s">
        <v>175</v>
      </c>
      <c r="M16" s="158" t="s">
        <v>371</v>
      </c>
      <c r="N16" s="150"/>
    </row>
    <row r="17">
      <c r="A17" s="28"/>
      <c r="B17" s="159" t="s">
        <v>176</v>
      </c>
      <c r="C17" s="165" t="s">
        <v>684</v>
      </c>
      <c r="D17" s="165">
        <v>251.0</v>
      </c>
      <c r="E17" s="162">
        <v>286.1</v>
      </c>
      <c r="F17" s="162" t="s">
        <v>685</v>
      </c>
      <c r="G17" s="163"/>
      <c r="H17" s="164"/>
      <c r="I17" s="159" t="s">
        <v>176</v>
      </c>
      <c r="J17" s="160" t="s">
        <v>686</v>
      </c>
      <c r="K17" s="160" t="s">
        <v>687</v>
      </c>
      <c r="L17" s="161" t="s">
        <v>688</v>
      </c>
      <c r="M17" s="354"/>
      <c r="N17" s="163"/>
    </row>
    <row r="18">
      <c r="A18" s="28"/>
      <c r="B18" s="166" t="s">
        <v>183</v>
      </c>
      <c r="C18" s="171" t="s">
        <v>645</v>
      </c>
      <c r="D18" s="171">
        <v>100.0</v>
      </c>
      <c r="E18" s="169">
        <v>242.0</v>
      </c>
      <c r="F18" s="172"/>
      <c r="G18" s="170"/>
      <c r="H18" s="164"/>
      <c r="I18" s="166" t="s">
        <v>183</v>
      </c>
      <c r="J18" s="167" t="s">
        <v>378</v>
      </c>
      <c r="K18" s="167" t="s">
        <v>589</v>
      </c>
      <c r="L18" s="168" t="s">
        <v>689</v>
      </c>
      <c r="M18" s="172"/>
      <c r="N18" s="170"/>
    </row>
    <row r="19">
      <c r="A19" s="28"/>
      <c r="B19" s="173" t="s">
        <v>190</v>
      </c>
      <c r="C19" s="171" t="s">
        <v>690</v>
      </c>
      <c r="D19" s="171">
        <v>199.0</v>
      </c>
      <c r="E19" s="169">
        <v>93.5</v>
      </c>
      <c r="F19" s="169" t="s">
        <v>685</v>
      </c>
      <c r="G19" s="170"/>
      <c r="H19" s="164"/>
      <c r="I19" s="173" t="s">
        <v>190</v>
      </c>
      <c r="J19" s="167" t="s">
        <v>382</v>
      </c>
      <c r="K19" s="167" t="s">
        <v>384</v>
      </c>
      <c r="L19" s="168">
        <v>101.0</v>
      </c>
      <c r="M19" s="169" t="s">
        <v>691</v>
      </c>
      <c r="N19" s="170"/>
    </row>
    <row r="20">
      <c r="A20" s="28"/>
      <c r="B20" s="174"/>
      <c r="C20" s="176"/>
      <c r="D20" s="176"/>
      <c r="E20" s="176"/>
      <c r="F20" s="176"/>
      <c r="G20" s="176"/>
      <c r="H20" s="164"/>
      <c r="I20" s="174"/>
      <c r="J20" s="175"/>
      <c r="K20" s="175"/>
      <c r="L20" s="175"/>
      <c r="M20" s="176"/>
      <c r="N20" s="176"/>
    </row>
    <row r="21">
      <c r="A21" s="28"/>
      <c r="B21" s="177" t="s">
        <v>196</v>
      </c>
      <c r="C21" s="171" t="s">
        <v>538</v>
      </c>
      <c r="D21" s="171">
        <v>101.0</v>
      </c>
      <c r="E21" s="169">
        <v>346.4</v>
      </c>
      <c r="F21" s="431" t="s">
        <v>692</v>
      </c>
      <c r="G21" s="170"/>
      <c r="H21" s="164"/>
      <c r="I21" s="177" t="s">
        <v>196</v>
      </c>
      <c r="J21" s="167" t="s">
        <v>693</v>
      </c>
      <c r="K21" s="167" t="s">
        <v>396</v>
      </c>
      <c r="L21" s="168" t="s">
        <v>694</v>
      </c>
      <c r="M21" s="172"/>
      <c r="N21" s="170"/>
    </row>
    <row r="22">
      <c r="A22" s="28"/>
      <c r="B22" s="178" t="s">
        <v>203</v>
      </c>
      <c r="C22" s="171" t="s">
        <v>695</v>
      </c>
      <c r="D22" s="171">
        <v>100.0</v>
      </c>
      <c r="E22" s="169">
        <v>115.0</v>
      </c>
      <c r="F22" s="172"/>
      <c r="G22" s="170"/>
      <c r="H22" s="164"/>
      <c r="I22" s="178" t="s">
        <v>203</v>
      </c>
      <c r="J22" s="167" t="s">
        <v>696</v>
      </c>
      <c r="K22" s="167" t="s">
        <v>390</v>
      </c>
      <c r="L22" s="168" t="s">
        <v>697</v>
      </c>
      <c r="M22" s="169" t="s">
        <v>698</v>
      </c>
      <c r="N22" s="170"/>
    </row>
    <row r="23">
      <c r="A23" s="28"/>
      <c r="B23" s="177" t="s">
        <v>211</v>
      </c>
      <c r="C23" s="171" t="s">
        <v>699</v>
      </c>
      <c r="D23" s="171">
        <v>100.0</v>
      </c>
      <c r="E23" s="169">
        <v>51.0</v>
      </c>
      <c r="F23" s="172"/>
      <c r="G23" s="170"/>
      <c r="H23" s="164"/>
      <c r="I23" s="177" t="s">
        <v>211</v>
      </c>
      <c r="J23" s="167" t="s">
        <v>382</v>
      </c>
      <c r="K23" s="167" t="s">
        <v>700</v>
      </c>
      <c r="L23" s="168" t="s">
        <v>701</v>
      </c>
      <c r="M23" s="169" t="s">
        <v>691</v>
      </c>
      <c r="N23" s="170"/>
    </row>
    <row r="24">
      <c r="A24" s="28"/>
      <c r="B24" s="174"/>
      <c r="C24" s="176"/>
      <c r="D24" s="176"/>
      <c r="E24" s="176"/>
      <c r="F24" s="176"/>
      <c r="G24" s="176"/>
      <c r="H24" s="164"/>
      <c r="I24" s="174"/>
      <c r="J24" s="175"/>
      <c r="K24" s="175"/>
      <c r="L24" s="175"/>
      <c r="M24" s="176"/>
      <c r="N24" s="176"/>
    </row>
    <row r="25">
      <c r="A25" s="28"/>
      <c r="B25" s="179" t="s">
        <v>216</v>
      </c>
      <c r="C25" s="171" t="s">
        <v>702</v>
      </c>
      <c r="D25" s="171">
        <v>101.0</v>
      </c>
      <c r="E25" s="169">
        <v>236.3</v>
      </c>
      <c r="F25" s="172"/>
      <c r="G25" s="170"/>
      <c r="H25" s="164"/>
      <c r="I25" s="179" t="s">
        <v>216</v>
      </c>
      <c r="J25" s="167" t="s">
        <v>703</v>
      </c>
      <c r="K25" s="167" t="s">
        <v>622</v>
      </c>
      <c r="L25" s="168" t="s">
        <v>704</v>
      </c>
      <c r="M25" s="169" t="s">
        <v>705</v>
      </c>
      <c r="N25" s="170"/>
    </row>
    <row r="26">
      <c r="A26" s="28"/>
      <c r="B26" s="180" t="s">
        <v>223</v>
      </c>
      <c r="C26" s="171" t="s">
        <v>526</v>
      </c>
      <c r="D26" s="171">
        <v>100.0</v>
      </c>
      <c r="E26" s="169">
        <v>312.0</v>
      </c>
      <c r="F26" s="172"/>
      <c r="G26" s="170"/>
      <c r="H26" s="164"/>
      <c r="I26" s="180" t="s">
        <v>223</v>
      </c>
      <c r="J26" s="167" t="s">
        <v>184</v>
      </c>
      <c r="K26" s="167" t="s">
        <v>706</v>
      </c>
      <c r="L26" s="168" t="s">
        <v>707</v>
      </c>
      <c r="M26" s="172"/>
      <c r="N26" s="170"/>
    </row>
    <row r="27">
      <c r="A27" s="28"/>
      <c r="B27" s="179" t="s">
        <v>229</v>
      </c>
      <c r="C27" s="171" t="s">
        <v>403</v>
      </c>
      <c r="D27" s="171">
        <v>100.0</v>
      </c>
      <c r="E27" s="169">
        <v>43.0</v>
      </c>
      <c r="F27" s="172"/>
      <c r="G27" s="170"/>
      <c r="H27" s="164"/>
      <c r="I27" s="179" t="s">
        <v>229</v>
      </c>
      <c r="J27" s="167" t="s">
        <v>382</v>
      </c>
      <c r="K27" s="167" t="s">
        <v>384</v>
      </c>
      <c r="L27" s="168">
        <v>101.0</v>
      </c>
      <c r="M27" s="169" t="s">
        <v>691</v>
      </c>
      <c r="N27" s="170"/>
    </row>
    <row r="28">
      <c r="A28" s="28"/>
      <c r="B28" s="174"/>
      <c r="C28" s="176"/>
      <c r="D28" s="176"/>
      <c r="E28" s="176"/>
      <c r="F28" s="176"/>
      <c r="G28" s="176"/>
      <c r="H28" s="164"/>
      <c r="I28" s="174"/>
      <c r="J28" s="175"/>
      <c r="K28" s="175"/>
      <c r="L28" s="175"/>
      <c r="M28" s="176"/>
      <c r="N28" s="176"/>
    </row>
    <row r="29">
      <c r="A29" s="28"/>
      <c r="B29" s="181" t="s">
        <v>234</v>
      </c>
      <c r="C29" s="171" t="s">
        <v>708</v>
      </c>
      <c r="D29" s="171">
        <v>117.0</v>
      </c>
      <c r="E29" s="169">
        <v>274.9</v>
      </c>
      <c r="F29" s="172"/>
      <c r="G29" s="170"/>
      <c r="H29" s="164"/>
      <c r="I29" s="181" t="s">
        <v>234</v>
      </c>
      <c r="J29" s="167" t="s">
        <v>709</v>
      </c>
      <c r="K29" s="167" t="s">
        <v>239</v>
      </c>
      <c r="L29" s="168" t="s">
        <v>710</v>
      </c>
      <c r="M29" s="172"/>
      <c r="N29" s="170"/>
    </row>
    <row r="30">
      <c r="A30" s="28"/>
      <c r="F30" s="28"/>
      <c r="G30" s="28"/>
    </row>
    <row r="31" ht="22.5" customHeight="1">
      <c r="A31" s="142"/>
      <c r="B31" s="182" t="s">
        <v>241</v>
      </c>
      <c r="C31" s="183"/>
      <c r="D31" s="183"/>
      <c r="E31" s="183"/>
      <c r="F31" s="183"/>
      <c r="G31" s="183"/>
      <c r="H31" s="183"/>
      <c r="I31" s="183"/>
      <c r="J31" s="183"/>
      <c r="K31" s="183"/>
      <c r="L31" s="183"/>
      <c r="M31" s="183"/>
      <c r="N31" s="184"/>
      <c r="O31" s="146"/>
      <c r="P31" s="146"/>
      <c r="Q31" s="146"/>
      <c r="R31" s="146"/>
      <c r="S31" s="146"/>
      <c r="T31" s="146"/>
      <c r="U31" s="146"/>
      <c r="V31" s="146"/>
      <c r="W31" s="146"/>
      <c r="X31" s="146"/>
      <c r="Y31" s="146"/>
    </row>
    <row r="32" ht="24.75" customHeight="1">
      <c r="A32" s="407"/>
      <c r="B32" s="432" t="s">
        <v>408</v>
      </c>
      <c r="C32" s="235"/>
      <c r="D32" s="235"/>
      <c r="E32" s="235"/>
      <c r="F32" s="235"/>
      <c r="G32" s="236"/>
      <c r="H32" s="433"/>
      <c r="I32" s="430" t="s">
        <v>242</v>
      </c>
      <c r="J32" s="149"/>
      <c r="K32" s="149"/>
      <c r="L32" s="149"/>
      <c r="M32" s="149"/>
      <c r="N32" s="150"/>
      <c r="O32" s="409"/>
      <c r="P32" s="409"/>
      <c r="Q32" s="409"/>
      <c r="R32" s="409"/>
      <c r="S32" s="409"/>
      <c r="T32" s="409"/>
      <c r="U32" s="409"/>
      <c r="V32" s="409"/>
      <c r="W32" s="409"/>
      <c r="X32" s="409"/>
      <c r="Y32" s="409"/>
    </row>
    <row r="33">
      <c r="A33" s="28"/>
      <c r="B33" s="186" t="s">
        <v>172</v>
      </c>
      <c r="C33" s="186" t="s">
        <v>175</v>
      </c>
      <c r="D33" s="186" t="s">
        <v>243</v>
      </c>
      <c r="E33" s="187" t="s">
        <v>244</v>
      </c>
      <c r="F33" s="188" t="s">
        <v>245</v>
      </c>
      <c r="G33" s="235"/>
      <c r="H33" s="190"/>
      <c r="I33" s="157" t="s">
        <v>172</v>
      </c>
      <c r="J33" s="157" t="s">
        <v>175</v>
      </c>
      <c r="K33" s="157" t="s">
        <v>243</v>
      </c>
      <c r="L33" s="157" t="s">
        <v>244</v>
      </c>
      <c r="M33" s="191" t="s">
        <v>245</v>
      </c>
      <c r="N33" s="150"/>
    </row>
    <row r="34">
      <c r="A34" s="28"/>
      <c r="B34" s="193" t="s">
        <v>246</v>
      </c>
      <c r="C34" s="194" t="s">
        <v>711</v>
      </c>
      <c r="D34" s="366" t="s">
        <v>410</v>
      </c>
      <c r="E34" s="367" t="s">
        <v>248</v>
      </c>
      <c r="F34" s="197">
        <v>0.312</v>
      </c>
      <c r="G34" s="198"/>
      <c r="H34" s="164"/>
      <c r="I34" s="199" t="s">
        <v>246</v>
      </c>
      <c r="J34" s="412">
        <v>528.3</v>
      </c>
      <c r="K34" s="402" t="s">
        <v>410</v>
      </c>
      <c r="L34" s="202" t="s">
        <v>248</v>
      </c>
      <c r="M34" s="203">
        <f t="shared" ref="M34:M37" si="1">J34/sum($J$34:$J$37)</f>
        <v>0.2717173276</v>
      </c>
      <c r="N34" s="203"/>
    </row>
    <row r="35">
      <c r="A35" s="28"/>
      <c r="B35" s="204" t="s">
        <v>249</v>
      </c>
      <c r="C35" s="205" t="s">
        <v>712</v>
      </c>
      <c r="D35" s="369" t="s">
        <v>412</v>
      </c>
      <c r="E35" s="212" t="s">
        <v>248</v>
      </c>
      <c r="F35" s="208">
        <v>0.257</v>
      </c>
      <c r="G35" s="209"/>
      <c r="H35" s="164"/>
      <c r="I35" s="204" t="s">
        <v>249</v>
      </c>
      <c r="J35" s="413">
        <v>647.9</v>
      </c>
      <c r="K35" s="369" t="s">
        <v>412</v>
      </c>
      <c r="L35" s="212" t="s">
        <v>248</v>
      </c>
      <c r="M35" s="213">
        <f t="shared" si="1"/>
        <v>0.3332304685</v>
      </c>
      <c r="N35" s="213"/>
    </row>
    <row r="36">
      <c r="A36" s="28"/>
      <c r="B36" s="214" t="s">
        <v>251</v>
      </c>
      <c r="C36" s="215" t="s">
        <v>586</v>
      </c>
      <c r="D36" s="370" t="s">
        <v>414</v>
      </c>
      <c r="E36" s="222" t="s">
        <v>248</v>
      </c>
      <c r="F36" s="218">
        <v>0.297</v>
      </c>
      <c r="G36" s="219"/>
      <c r="H36" s="164"/>
      <c r="I36" s="214" t="s">
        <v>251</v>
      </c>
      <c r="J36" s="414">
        <v>497.7</v>
      </c>
      <c r="K36" s="370" t="s">
        <v>414</v>
      </c>
      <c r="L36" s="222" t="s">
        <v>248</v>
      </c>
      <c r="M36" s="223">
        <f t="shared" si="1"/>
        <v>0.2559790156</v>
      </c>
      <c r="N36" s="223"/>
    </row>
    <row r="37">
      <c r="A37" s="28"/>
      <c r="B37" s="224" t="s">
        <v>253</v>
      </c>
      <c r="C37" s="225" t="s">
        <v>713</v>
      </c>
      <c r="D37" s="371" t="s">
        <v>416</v>
      </c>
      <c r="E37" s="232" t="s">
        <v>248</v>
      </c>
      <c r="F37" s="228">
        <v>0.138</v>
      </c>
      <c r="G37" s="229"/>
      <c r="H37" s="164"/>
      <c r="I37" s="224" t="s">
        <v>253</v>
      </c>
      <c r="J37" s="415">
        <v>270.4</v>
      </c>
      <c r="K37" s="371" t="s">
        <v>416</v>
      </c>
      <c r="L37" s="232" t="s">
        <v>248</v>
      </c>
      <c r="M37" s="233">
        <f t="shared" si="1"/>
        <v>0.1390731883</v>
      </c>
      <c r="N37" s="233"/>
    </row>
    <row r="38">
      <c r="A38" s="28"/>
      <c r="B38" s="28"/>
      <c r="C38" s="28"/>
      <c r="D38" s="28"/>
      <c r="E38" s="28"/>
      <c r="F38" s="28"/>
      <c r="G38" s="28"/>
    </row>
    <row r="39" ht="22.5" customHeight="1">
      <c r="A39" s="142"/>
      <c r="B39" s="234" t="s">
        <v>255</v>
      </c>
      <c r="C39" s="235"/>
      <c r="D39" s="235"/>
      <c r="E39" s="235"/>
      <c r="F39" s="235"/>
      <c r="G39" s="235"/>
      <c r="H39" s="235"/>
      <c r="I39" s="235"/>
      <c r="J39" s="235"/>
      <c r="K39" s="235"/>
      <c r="L39" s="235"/>
      <c r="M39" s="235"/>
      <c r="N39" s="236"/>
      <c r="O39" s="146"/>
      <c r="P39" s="146"/>
      <c r="Q39" s="146"/>
      <c r="R39" s="146"/>
      <c r="S39" s="146"/>
      <c r="T39" s="146"/>
      <c r="U39" s="146"/>
      <c r="V39" s="146"/>
      <c r="W39" s="146"/>
      <c r="X39" s="146"/>
      <c r="Y39" s="146"/>
    </row>
    <row r="40" ht="24.75" customHeight="1">
      <c r="A40" s="407"/>
      <c r="B40" s="432" t="s">
        <v>256</v>
      </c>
      <c r="C40" s="235"/>
      <c r="D40" s="235"/>
      <c r="E40" s="235"/>
      <c r="F40" s="235"/>
      <c r="G40" s="236"/>
      <c r="H40" s="433"/>
      <c r="I40" s="430" t="s">
        <v>257</v>
      </c>
      <c r="J40" s="149"/>
      <c r="K40" s="149"/>
      <c r="L40" s="149"/>
      <c r="M40" s="149"/>
      <c r="N40" s="150"/>
      <c r="O40" s="409"/>
      <c r="P40" s="409"/>
      <c r="Q40" s="409"/>
      <c r="R40" s="409"/>
      <c r="S40" s="409"/>
      <c r="T40" s="409"/>
      <c r="U40" s="409"/>
      <c r="V40" s="409"/>
      <c r="W40" s="409"/>
      <c r="X40" s="409"/>
      <c r="Y40" s="409"/>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385"/>
      <c r="B42" s="377" t="s">
        <v>262</v>
      </c>
      <c r="C42" s="243" t="s">
        <v>677</v>
      </c>
      <c r="D42" s="243">
        <v>2000.39</v>
      </c>
      <c r="E42" s="246">
        <v>1.0</v>
      </c>
      <c r="F42" s="386"/>
      <c r="G42" s="235"/>
      <c r="H42" s="387"/>
      <c r="I42" s="377" t="s">
        <v>262</v>
      </c>
      <c r="J42" s="243" t="s">
        <v>677</v>
      </c>
      <c r="K42" s="243">
        <v>1944.3</v>
      </c>
      <c r="L42" s="246">
        <v>0.976</v>
      </c>
      <c r="M42" s="386"/>
      <c r="N42" s="235"/>
      <c r="O42" s="388"/>
      <c r="P42" s="388"/>
      <c r="Q42" s="388"/>
      <c r="R42" s="388"/>
      <c r="S42" s="388"/>
      <c r="T42" s="388"/>
      <c r="U42" s="388"/>
      <c r="V42" s="388"/>
      <c r="W42" s="388"/>
      <c r="X42" s="388"/>
      <c r="Y42" s="388"/>
    </row>
    <row r="43">
      <c r="A43" s="385"/>
      <c r="B43" s="377" t="s">
        <v>158</v>
      </c>
      <c r="C43" s="243" t="s">
        <v>678</v>
      </c>
      <c r="D43" s="243">
        <v>80.61</v>
      </c>
      <c r="E43" s="246">
        <v>1.027</v>
      </c>
      <c r="F43" s="386"/>
      <c r="G43" s="235"/>
      <c r="H43" s="387"/>
      <c r="I43" s="377" t="s">
        <v>158</v>
      </c>
      <c r="J43" s="243" t="s">
        <v>678</v>
      </c>
      <c r="K43" s="243">
        <v>92.4</v>
      </c>
      <c r="L43" s="246">
        <f>K43/78.5</f>
        <v>1.177070064</v>
      </c>
      <c r="M43" s="386"/>
      <c r="N43" s="235"/>
      <c r="O43" s="388"/>
      <c r="P43" s="388"/>
      <c r="Q43" s="388"/>
      <c r="R43" s="388"/>
      <c r="S43" s="388"/>
      <c r="T43" s="388"/>
      <c r="U43" s="388"/>
      <c r="V43" s="388"/>
      <c r="W43" s="388"/>
      <c r="X43" s="388"/>
      <c r="Y43" s="388"/>
    </row>
    <row r="44">
      <c r="A44" s="385"/>
      <c r="B44" s="377" t="s">
        <v>263</v>
      </c>
      <c r="C44" s="243" t="s">
        <v>680</v>
      </c>
      <c r="D44" s="243">
        <v>67.17</v>
      </c>
      <c r="E44" s="246">
        <v>1.111</v>
      </c>
      <c r="F44" s="386"/>
      <c r="G44" s="235"/>
      <c r="H44" s="387"/>
      <c r="I44" s="377" t="s">
        <v>263</v>
      </c>
      <c r="J44" s="243" t="s">
        <v>680</v>
      </c>
      <c r="K44" s="243">
        <v>41.2</v>
      </c>
      <c r="L44" s="246">
        <v>0.753</v>
      </c>
      <c r="M44" s="386"/>
      <c r="N44" s="235"/>
      <c r="O44" s="388"/>
      <c r="P44" s="388"/>
      <c r="Q44" s="388"/>
      <c r="R44" s="388"/>
      <c r="S44" s="388"/>
      <c r="T44" s="388"/>
      <c r="U44" s="388"/>
      <c r="V44" s="388"/>
      <c r="W44" s="388"/>
      <c r="X44" s="388"/>
      <c r="Y44" s="388"/>
    </row>
    <row r="45">
      <c r="A45" s="385"/>
      <c r="B45" s="377" t="s">
        <v>264</v>
      </c>
      <c r="C45" s="243" t="s">
        <v>682</v>
      </c>
      <c r="D45" s="243">
        <v>274.43</v>
      </c>
      <c r="E45" s="246">
        <v>1.0</v>
      </c>
      <c r="F45" s="386"/>
      <c r="G45" s="235"/>
      <c r="H45" s="387"/>
      <c r="I45" s="377" t="s">
        <v>264</v>
      </c>
      <c r="J45" s="243" t="s">
        <v>682</v>
      </c>
      <c r="K45" s="243">
        <v>304.0</v>
      </c>
      <c r="L45" s="246">
        <f>K45/274.6</f>
        <v>1.107064822</v>
      </c>
      <c r="M45" s="386"/>
      <c r="N45" s="235"/>
      <c r="O45" s="388"/>
      <c r="P45" s="388"/>
      <c r="Q45" s="388"/>
      <c r="R45" s="388"/>
      <c r="S45" s="388"/>
      <c r="T45" s="388"/>
      <c r="U45" s="388"/>
      <c r="V45" s="388"/>
      <c r="W45" s="388"/>
      <c r="X45" s="388"/>
      <c r="Y45" s="388"/>
    </row>
    <row r="46">
      <c r="A46" s="385"/>
      <c r="B46" s="377" t="s">
        <v>265</v>
      </c>
      <c r="C46" s="243" t="s">
        <v>417</v>
      </c>
      <c r="D46" s="243">
        <v>2085.26</v>
      </c>
      <c r="E46" s="246">
        <v>1.0</v>
      </c>
      <c r="F46" s="386"/>
      <c r="G46" s="235"/>
      <c r="H46" s="387"/>
      <c r="I46" s="377" t="s">
        <v>265</v>
      </c>
      <c r="J46" s="243" t="s">
        <v>417</v>
      </c>
      <c r="K46" s="243">
        <v>1837.2</v>
      </c>
      <c r="L46" s="246">
        <v>1.0</v>
      </c>
      <c r="M46" s="386"/>
      <c r="N46" s="235"/>
      <c r="O46" s="388"/>
      <c r="P46" s="388"/>
      <c r="Q46" s="388"/>
      <c r="R46" s="388"/>
      <c r="S46" s="388"/>
      <c r="T46" s="388"/>
      <c r="U46" s="388"/>
      <c r="V46" s="388"/>
      <c r="W46" s="388"/>
      <c r="X46" s="388"/>
      <c r="Y46" s="388"/>
    </row>
    <row r="47">
      <c r="A47" s="385"/>
      <c r="B47" s="377" t="s">
        <v>267</v>
      </c>
      <c r="C47" s="243" t="s">
        <v>714</v>
      </c>
      <c r="D47" s="243">
        <v>24.68</v>
      </c>
      <c r="E47" s="246">
        <v>1.0</v>
      </c>
      <c r="F47" s="386"/>
      <c r="G47" s="235"/>
      <c r="H47" s="387"/>
      <c r="I47" s="377" t="s">
        <v>267</v>
      </c>
      <c r="J47" s="243" t="s">
        <v>714</v>
      </c>
      <c r="K47" s="243">
        <v>5.4</v>
      </c>
      <c r="L47" s="246">
        <v>1.0</v>
      </c>
      <c r="M47" s="386"/>
      <c r="N47" s="235"/>
      <c r="O47" s="388"/>
      <c r="P47" s="388"/>
      <c r="Q47" s="388"/>
      <c r="R47" s="388"/>
      <c r="S47" s="388"/>
      <c r="T47" s="388"/>
      <c r="U47" s="388"/>
      <c r="V47" s="388"/>
      <c r="W47" s="388"/>
      <c r="X47" s="388"/>
      <c r="Y47" s="388"/>
    </row>
    <row r="48">
      <c r="A48" s="385"/>
      <c r="B48" s="377" t="s">
        <v>269</v>
      </c>
      <c r="C48" s="243" t="s">
        <v>488</v>
      </c>
      <c r="D48" s="243">
        <v>123.1</v>
      </c>
      <c r="E48" s="246">
        <v>1.0</v>
      </c>
      <c r="F48" s="386"/>
      <c r="G48" s="235"/>
      <c r="H48" s="387"/>
      <c r="I48" s="377" t="s">
        <v>269</v>
      </c>
      <c r="J48" s="243" t="s">
        <v>488</v>
      </c>
      <c r="K48" s="243">
        <v>178.4</v>
      </c>
      <c r="L48" s="246">
        <f>K48/150</f>
        <v>1.189333333</v>
      </c>
      <c r="M48" s="386"/>
      <c r="N48" s="235"/>
      <c r="O48" s="388"/>
      <c r="P48" s="388"/>
      <c r="Q48" s="388"/>
      <c r="R48" s="388"/>
      <c r="S48" s="388"/>
      <c r="T48" s="388"/>
      <c r="U48" s="388"/>
      <c r="V48" s="388"/>
      <c r="W48" s="388"/>
      <c r="X48" s="388"/>
      <c r="Y48" s="388"/>
    </row>
    <row r="49">
      <c r="A49" s="385"/>
      <c r="B49" s="377" t="s">
        <v>313</v>
      </c>
      <c r="C49" s="243" t="s">
        <v>715</v>
      </c>
      <c r="D49" s="243">
        <v>31.31</v>
      </c>
      <c r="E49" s="246">
        <v>1.0</v>
      </c>
      <c r="F49" s="386"/>
      <c r="G49" s="235"/>
      <c r="H49" s="389"/>
      <c r="I49" s="377" t="s">
        <v>313</v>
      </c>
      <c r="J49" s="243" t="s">
        <v>715</v>
      </c>
      <c r="K49" s="243">
        <v>17.1</v>
      </c>
      <c r="L49" s="246">
        <v>0.569</v>
      </c>
      <c r="M49" s="386"/>
      <c r="N49" s="235"/>
      <c r="O49" s="388"/>
      <c r="P49" s="388"/>
      <c r="Q49" s="388"/>
      <c r="R49" s="388"/>
      <c r="S49" s="388"/>
      <c r="T49" s="388"/>
      <c r="U49" s="388"/>
      <c r="V49" s="388"/>
      <c r="W49" s="388"/>
      <c r="X49" s="388"/>
      <c r="Y49" s="388"/>
    </row>
    <row r="50">
      <c r="A50" s="385"/>
      <c r="B50" s="377" t="s">
        <v>420</v>
      </c>
      <c r="C50" s="243" t="s">
        <v>421</v>
      </c>
      <c r="D50" s="243">
        <v>89.33</v>
      </c>
      <c r="E50" s="246">
        <v>1.0</v>
      </c>
      <c r="F50" s="386"/>
      <c r="G50" s="235"/>
      <c r="H50" s="389"/>
      <c r="I50" s="377" t="s">
        <v>420</v>
      </c>
      <c r="J50" s="243" t="s">
        <v>421</v>
      </c>
      <c r="K50" s="243">
        <v>28.2</v>
      </c>
      <c r="L50" s="246">
        <v>0.376</v>
      </c>
      <c r="M50" s="386"/>
      <c r="N50" s="235"/>
      <c r="O50" s="388"/>
      <c r="P50" s="388"/>
      <c r="Q50" s="388"/>
      <c r="R50" s="388"/>
      <c r="S50" s="388"/>
      <c r="T50" s="388"/>
      <c r="U50" s="388"/>
      <c r="V50" s="388"/>
      <c r="W50" s="388"/>
      <c r="X50" s="388"/>
      <c r="Y50" s="388"/>
    </row>
    <row r="51">
      <c r="A51" s="385"/>
      <c r="B51" s="377" t="s">
        <v>422</v>
      </c>
      <c r="C51" s="243" t="s">
        <v>423</v>
      </c>
      <c r="D51" s="243">
        <v>0.34</v>
      </c>
      <c r="E51" s="246">
        <v>0.486</v>
      </c>
      <c r="F51" s="386"/>
      <c r="G51" s="235"/>
      <c r="H51" s="389"/>
      <c r="I51" s="377" t="s">
        <v>422</v>
      </c>
      <c r="J51" s="243" t="s">
        <v>423</v>
      </c>
      <c r="K51" s="243">
        <v>0.0682</v>
      </c>
      <c r="L51" s="246">
        <v>0.097</v>
      </c>
      <c r="M51" s="386"/>
      <c r="N51" s="235"/>
      <c r="O51" s="388"/>
      <c r="P51" s="388"/>
      <c r="Q51" s="388"/>
      <c r="R51" s="388"/>
      <c r="S51" s="388"/>
      <c r="T51" s="388"/>
      <c r="U51" s="388"/>
      <c r="V51" s="388"/>
      <c r="W51" s="388"/>
      <c r="X51" s="388"/>
      <c r="Y51" s="388"/>
    </row>
    <row r="52">
      <c r="A52" s="385"/>
      <c r="B52" s="377" t="s">
        <v>292</v>
      </c>
      <c r="C52" s="243">
        <v>1.3</v>
      </c>
      <c r="D52" s="243">
        <v>1.99</v>
      </c>
      <c r="E52" s="246">
        <v>1.0</v>
      </c>
      <c r="F52" s="386"/>
      <c r="G52" s="235"/>
      <c r="H52" s="387"/>
      <c r="I52" s="377" t="s">
        <v>292</v>
      </c>
      <c r="J52" s="243">
        <v>1.3</v>
      </c>
      <c r="K52" s="243">
        <v>2.4</v>
      </c>
      <c r="L52" s="246">
        <v>1.0</v>
      </c>
      <c r="M52" s="386"/>
      <c r="N52" s="235"/>
      <c r="O52" s="388"/>
      <c r="P52" s="388"/>
      <c r="Q52" s="388"/>
      <c r="R52" s="388"/>
      <c r="S52" s="388"/>
      <c r="T52" s="388"/>
      <c r="U52" s="388"/>
      <c r="V52" s="388"/>
      <c r="W52" s="388"/>
      <c r="X52" s="388"/>
      <c r="Y52" s="388"/>
    </row>
    <row r="53">
      <c r="A53" s="385"/>
      <c r="B53" s="377" t="s">
        <v>296</v>
      </c>
      <c r="C53" s="243">
        <v>0.0024</v>
      </c>
      <c r="D53" s="243">
        <v>0.0</v>
      </c>
      <c r="E53" s="246">
        <v>0.0</v>
      </c>
      <c r="F53" s="386"/>
      <c r="G53" s="235"/>
      <c r="H53" s="387"/>
      <c r="I53" s="377" t="s">
        <v>296</v>
      </c>
      <c r="J53" s="243">
        <v>0.0024</v>
      </c>
      <c r="K53" s="243">
        <v>0.0017</v>
      </c>
      <c r="L53" s="246">
        <v>0.708</v>
      </c>
      <c r="M53" s="386"/>
      <c r="N53" s="235"/>
      <c r="O53" s="388"/>
      <c r="P53" s="388"/>
      <c r="Q53" s="388"/>
      <c r="R53" s="388"/>
      <c r="S53" s="388"/>
      <c r="T53" s="388"/>
      <c r="U53" s="388"/>
      <c r="V53" s="388"/>
      <c r="W53" s="388"/>
      <c r="X53" s="388"/>
      <c r="Y53" s="388"/>
    </row>
    <row r="54">
      <c r="A54" s="385"/>
      <c r="B54" s="377" t="s">
        <v>299</v>
      </c>
      <c r="C54" s="243" t="s">
        <v>426</v>
      </c>
      <c r="D54" s="243">
        <v>15.94</v>
      </c>
      <c r="E54" s="246">
        <v>1.0</v>
      </c>
      <c r="F54" s="386"/>
      <c r="G54" s="235"/>
      <c r="H54" s="389"/>
      <c r="I54" s="377" t="s">
        <v>299</v>
      </c>
      <c r="J54" s="243" t="s">
        <v>426</v>
      </c>
      <c r="K54" s="243">
        <v>15.9</v>
      </c>
      <c r="L54" s="246">
        <v>1.0</v>
      </c>
      <c r="M54" s="386"/>
      <c r="N54" s="235"/>
      <c r="O54" s="388"/>
      <c r="P54" s="388"/>
      <c r="Q54" s="388"/>
      <c r="R54" s="388"/>
      <c r="S54" s="388"/>
      <c r="T54" s="388"/>
      <c r="U54" s="388"/>
      <c r="V54" s="388"/>
      <c r="W54" s="388"/>
      <c r="X54" s="388"/>
      <c r="Y54" s="388"/>
    </row>
    <row r="55">
      <c r="A55" s="385"/>
      <c r="B55" s="377" t="s">
        <v>427</v>
      </c>
      <c r="C55" s="243" t="s">
        <v>428</v>
      </c>
      <c r="D55" s="243">
        <v>9.01</v>
      </c>
      <c r="E55" s="246">
        <v>1.0</v>
      </c>
      <c r="F55" s="386"/>
      <c r="G55" s="235"/>
      <c r="H55" s="389"/>
      <c r="I55" s="377" t="s">
        <v>427</v>
      </c>
      <c r="J55" s="243" t="s">
        <v>428</v>
      </c>
      <c r="K55" s="243">
        <v>6.5</v>
      </c>
      <c r="L55" s="246">
        <v>0.807</v>
      </c>
      <c r="M55" s="386"/>
      <c r="N55" s="235"/>
      <c r="O55" s="388"/>
      <c r="P55" s="388"/>
      <c r="Q55" s="388"/>
      <c r="R55" s="388"/>
      <c r="S55" s="388"/>
      <c r="T55" s="388"/>
      <c r="U55" s="388"/>
      <c r="V55" s="388"/>
      <c r="W55" s="388"/>
      <c r="X55" s="388"/>
      <c r="Y55" s="388"/>
    </row>
    <row r="56">
      <c r="A56" s="385"/>
      <c r="B56" s="377" t="s">
        <v>297</v>
      </c>
      <c r="C56" s="243" t="s">
        <v>429</v>
      </c>
      <c r="D56" s="243">
        <v>1020.73</v>
      </c>
      <c r="E56" s="246">
        <v>1.0</v>
      </c>
      <c r="F56" s="386"/>
      <c r="G56" s="235"/>
      <c r="H56" s="389"/>
      <c r="I56" s="377" t="s">
        <v>297</v>
      </c>
      <c r="J56" s="243" t="s">
        <v>429</v>
      </c>
      <c r="K56" s="243">
        <v>474.6</v>
      </c>
      <c r="L56" s="246">
        <v>0.5</v>
      </c>
      <c r="M56" s="386"/>
      <c r="N56" s="235"/>
      <c r="O56" s="388"/>
      <c r="P56" s="388"/>
      <c r="Q56" s="388"/>
      <c r="R56" s="388"/>
      <c r="S56" s="388"/>
      <c r="T56" s="388"/>
      <c r="U56" s="388"/>
      <c r="V56" s="388"/>
      <c r="W56" s="388"/>
      <c r="X56" s="388"/>
      <c r="Y56" s="388"/>
    </row>
    <row r="57">
      <c r="A57" s="385"/>
      <c r="B57" s="377" t="s">
        <v>304</v>
      </c>
      <c r="C57" s="243" t="s">
        <v>716</v>
      </c>
      <c r="D57" s="243">
        <v>4014.49</v>
      </c>
      <c r="E57" s="246">
        <v>1.0</v>
      </c>
      <c r="F57" s="386"/>
      <c r="G57" s="235"/>
      <c r="H57" s="389"/>
      <c r="I57" s="377" t="s">
        <v>304</v>
      </c>
      <c r="J57" s="243" t="s">
        <v>716</v>
      </c>
      <c r="K57" s="243">
        <v>1988.4</v>
      </c>
      <c r="L57" s="246">
        <v>0.585</v>
      </c>
      <c r="M57" s="386"/>
      <c r="N57" s="235"/>
      <c r="O57" s="388"/>
      <c r="P57" s="388"/>
      <c r="Q57" s="388"/>
      <c r="R57" s="388"/>
      <c r="S57" s="388"/>
      <c r="T57" s="388"/>
      <c r="U57" s="388"/>
      <c r="V57" s="388"/>
      <c r="W57" s="388"/>
      <c r="X57" s="388"/>
      <c r="Y57" s="388"/>
    </row>
    <row r="58">
      <c r="A58" s="385"/>
      <c r="B58" s="377" t="s">
        <v>271</v>
      </c>
      <c r="C58" s="243" t="s">
        <v>717</v>
      </c>
      <c r="D58" s="243">
        <v>11.62</v>
      </c>
      <c r="E58" s="246">
        <v>1.0</v>
      </c>
      <c r="F58" s="386"/>
      <c r="G58" s="235"/>
      <c r="H58" s="389"/>
      <c r="I58" s="377" t="s">
        <v>271</v>
      </c>
      <c r="J58" s="243" t="s">
        <v>717</v>
      </c>
      <c r="K58" s="243">
        <v>7.7</v>
      </c>
      <c r="L58" s="246">
        <v>1.0</v>
      </c>
      <c r="M58" s="386"/>
      <c r="N58" s="235"/>
      <c r="O58" s="388"/>
      <c r="P58" s="388"/>
      <c r="Q58" s="388"/>
      <c r="R58" s="388"/>
      <c r="S58" s="388"/>
      <c r="T58" s="388"/>
      <c r="U58" s="388"/>
      <c r="V58" s="388"/>
      <c r="W58" s="388"/>
      <c r="X58" s="388"/>
      <c r="Y58" s="388"/>
    </row>
    <row r="59">
      <c r="A59" s="385"/>
      <c r="B59" s="377" t="s">
        <v>492</v>
      </c>
      <c r="C59" s="243" t="s">
        <v>493</v>
      </c>
      <c r="D59" s="243">
        <v>411.52</v>
      </c>
      <c r="E59" s="246">
        <v>1.0</v>
      </c>
      <c r="H59" s="389"/>
      <c r="I59" s="377" t="s">
        <v>492</v>
      </c>
      <c r="J59" s="243" t="s">
        <v>493</v>
      </c>
      <c r="K59" s="243">
        <v>229.3</v>
      </c>
      <c r="L59" s="246">
        <v>0.955</v>
      </c>
      <c r="M59" s="386"/>
      <c r="N59" s="235"/>
      <c r="O59" s="388"/>
      <c r="P59" s="388"/>
      <c r="Q59" s="388"/>
      <c r="R59" s="388"/>
      <c r="S59" s="388"/>
      <c r="T59" s="388"/>
      <c r="U59" s="388"/>
      <c r="V59" s="388"/>
      <c r="W59" s="388"/>
      <c r="X59" s="388"/>
      <c r="Y59" s="388"/>
    </row>
    <row r="60">
      <c r="A60" s="28"/>
      <c r="B60" s="434"/>
      <c r="C60" s="435"/>
      <c r="D60" s="435"/>
      <c r="E60" s="435"/>
      <c r="F60" s="435"/>
      <c r="G60" s="435"/>
      <c r="H60" s="28"/>
      <c r="I60" s="434"/>
      <c r="J60" s="435"/>
      <c r="K60" s="435"/>
      <c r="L60" s="435"/>
      <c r="M60" s="435"/>
      <c r="N60" s="435"/>
    </row>
    <row r="61" ht="22.5" customHeight="1">
      <c r="A61" s="142"/>
      <c r="B61" s="234" t="s">
        <v>273</v>
      </c>
      <c r="C61" s="235"/>
      <c r="D61" s="235"/>
      <c r="E61" s="235"/>
      <c r="F61" s="235"/>
      <c r="G61" s="235"/>
      <c r="H61" s="235"/>
      <c r="I61" s="235"/>
      <c r="J61" s="235"/>
      <c r="K61" s="235"/>
      <c r="L61" s="235"/>
      <c r="M61" s="235"/>
      <c r="N61" s="236"/>
      <c r="O61" s="146"/>
      <c r="P61" s="146"/>
      <c r="Q61" s="146"/>
      <c r="R61" s="146"/>
      <c r="S61" s="146"/>
      <c r="T61" s="146"/>
      <c r="U61" s="146"/>
      <c r="V61" s="146"/>
      <c r="W61" s="146"/>
      <c r="X61" s="146"/>
      <c r="Y61" s="146"/>
    </row>
    <row r="62" ht="24.75" customHeight="1">
      <c r="A62" s="407"/>
      <c r="B62" s="432" t="s">
        <v>274</v>
      </c>
      <c r="C62" s="235"/>
      <c r="D62" s="235"/>
      <c r="E62" s="235"/>
      <c r="F62" s="235"/>
      <c r="G62" s="236"/>
      <c r="H62" s="433"/>
      <c r="I62" s="430" t="s">
        <v>275</v>
      </c>
      <c r="J62" s="149"/>
      <c r="K62" s="149"/>
      <c r="L62" s="149"/>
      <c r="M62" s="149"/>
      <c r="N62" s="150"/>
      <c r="O62" s="409"/>
      <c r="P62" s="409"/>
      <c r="Q62" s="409"/>
      <c r="R62" s="409"/>
      <c r="S62" s="409"/>
      <c r="T62" s="409"/>
      <c r="U62" s="409"/>
      <c r="V62" s="409"/>
      <c r="W62" s="409"/>
      <c r="X62" s="409"/>
      <c r="Y62" s="409"/>
    </row>
    <row r="63">
      <c r="A63" s="28"/>
      <c r="B63" s="238" t="s">
        <v>258</v>
      </c>
      <c r="C63" s="238" t="s">
        <v>276</v>
      </c>
      <c r="D63" s="238" t="s">
        <v>260</v>
      </c>
      <c r="E63" s="376" t="s">
        <v>261</v>
      </c>
      <c r="F63" s="251" t="s">
        <v>244</v>
      </c>
      <c r="G63" s="252"/>
      <c r="H63" s="190"/>
      <c r="I63" s="239" t="s">
        <v>258</v>
      </c>
      <c r="J63" s="239" t="s">
        <v>276</v>
      </c>
      <c r="K63" s="239" t="s">
        <v>260</v>
      </c>
      <c r="L63" s="240" t="s">
        <v>261</v>
      </c>
      <c r="M63" s="241"/>
      <c r="N63" s="150"/>
    </row>
    <row r="64">
      <c r="A64" s="385"/>
      <c r="B64" s="377" t="s">
        <v>282</v>
      </c>
      <c r="C64" s="243" t="s">
        <v>283</v>
      </c>
      <c r="D64" s="243">
        <v>0.0</v>
      </c>
      <c r="E64" s="246">
        <v>0.0</v>
      </c>
      <c r="F64" s="391"/>
      <c r="G64" s="256"/>
      <c r="H64" s="387"/>
      <c r="I64" s="377" t="s">
        <v>282</v>
      </c>
      <c r="J64" s="243" t="s">
        <v>283</v>
      </c>
      <c r="K64" s="243">
        <v>2.0E-4</v>
      </c>
      <c r="L64" s="246">
        <v>0.013</v>
      </c>
      <c r="M64" s="391"/>
      <c r="N64" s="256"/>
      <c r="O64" s="388"/>
      <c r="P64" s="388"/>
      <c r="Q64" s="388"/>
      <c r="R64" s="388"/>
      <c r="S64" s="388"/>
      <c r="T64" s="388"/>
      <c r="U64" s="388"/>
      <c r="V64" s="388"/>
      <c r="W64" s="388"/>
      <c r="X64" s="388"/>
      <c r="Y64" s="388"/>
    </row>
    <row r="65">
      <c r="A65" s="385"/>
      <c r="B65" s="377" t="s">
        <v>284</v>
      </c>
      <c r="C65" s="243" t="s">
        <v>285</v>
      </c>
      <c r="D65" s="243">
        <v>10.18</v>
      </c>
      <c r="E65" s="246">
        <v>0.6786667</v>
      </c>
      <c r="F65" s="386"/>
      <c r="G65" s="235"/>
      <c r="H65" s="387"/>
      <c r="I65" s="377" t="s">
        <v>284</v>
      </c>
      <c r="J65" s="243" t="s">
        <v>285</v>
      </c>
      <c r="K65" s="243">
        <v>6.4</v>
      </c>
      <c r="L65" s="246">
        <v>0.424</v>
      </c>
      <c r="M65" s="386"/>
      <c r="N65" s="235"/>
      <c r="O65" s="388"/>
      <c r="P65" s="388"/>
      <c r="Q65" s="388"/>
      <c r="R65" s="388"/>
      <c r="S65" s="388"/>
      <c r="T65" s="388"/>
      <c r="U65" s="388"/>
      <c r="V65" s="388"/>
      <c r="W65" s="388"/>
      <c r="X65" s="388"/>
      <c r="Y65" s="388"/>
    </row>
    <row r="66">
      <c r="A66" s="385"/>
      <c r="B66" s="377" t="s">
        <v>286</v>
      </c>
      <c r="C66" s="243">
        <v>0.09</v>
      </c>
      <c r="D66" s="243">
        <v>0.06</v>
      </c>
      <c r="E66" s="246">
        <v>0.6666667</v>
      </c>
      <c r="F66" s="386"/>
      <c r="G66" s="235"/>
      <c r="H66" s="387"/>
      <c r="I66" s="377" t="s">
        <v>286</v>
      </c>
      <c r="J66" s="243">
        <v>0.09</v>
      </c>
      <c r="K66" s="243">
        <v>0.0163</v>
      </c>
      <c r="L66" s="246">
        <v>0.181</v>
      </c>
      <c r="M66" s="386"/>
      <c r="N66" s="235"/>
      <c r="O66" s="388"/>
      <c r="P66" s="388"/>
      <c r="Q66" s="388"/>
      <c r="R66" s="388"/>
      <c r="S66" s="388"/>
      <c r="T66" s="388"/>
      <c r="U66" s="388"/>
      <c r="V66" s="388"/>
      <c r="W66" s="388"/>
      <c r="X66" s="388"/>
      <c r="Y66" s="388"/>
    </row>
    <row r="67">
      <c r="A67" s="385"/>
      <c r="B67" s="377" t="s">
        <v>287</v>
      </c>
      <c r="C67" s="243">
        <v>1.1</v>
      </c>
      <c r="D67" s="243">
        <v>1.58</v>
      </c>
      <c r="E67" s="246">
        <v>1.0</v>
      </c>
      <c r="F67" s="386"/>
      <c r="G67" s="235"/>
      <c r="H67" s="387"/>
      <c r="I67" s="377" t="s">
        <v>287</v>
      </c>
      <c r="J67" s="243">
        <v>1.1</v>
      </c>
      <c r="K67" s="243">
        <v>1.4</v>
      </c>
      <c r="L67" s="246">
        <v>1.0</v>
      </c>
      <c r="M67" s="386"/>
      <c r="N67" s="235"/>
      <c r="O67" s="388"/>
      <c r="P67" s="388"/>
      <c r="Q67" s="388"/>
      <c r="R67" s="388"/>
      <c r="S67" s="388"/>
      <c r="T67" s="388"/>
      <c r="U67" s="388"/>
      <c r="V67" s="388"/>
      <c r="W67" s="388"/>
      <c r="X67" s="388"/>
      <c r="Y67" s="388"/>
    </row>
    <row r="68">
      <c r="A68" s="385"/>
      <c r="B68" s="377" t="s">
        <v>288</v>
      </c>
      <c r="C68" s="243">
        <v>1.1</v>
      </c>
      <c r="D68" s="243">
        <v>1.49</v>
      </c>
      <c r="E68" s="246">
        <v>1.0</v>
      </c>
      <c r="F68" s="386"/>
      <c r="G68" s="235"/>
      <c r="H68" s="387"/>
      <c r="I68" s="377" t="s">
        <v>288</v>
      </c>
      <c r="J68" s="243">
        <v>1.1</v>
      </c>
      <c r="K68" s="243">
        <v>1.1</v>
      </c>
      <c r="L68" s="246">
        <v>1.0</v>
      </c>
      <c r="M68" s="386"/>
      <c r="N68" s="235"/>
      <c r="O68" s="388"/>
      <c r="P68" s="388"/>
      <c r="Q68" s="388"/>
      <c r="R68" s="388"/>
      <c r="S68" s="388"/>
      <c r="T68" s="388"/>
      <c r="U68" s="388"/>
      <c r="V68" s="388"/>
      <c r="W68" s="388"/>
      <c r="X68" s="388"/>
      <c r="Y68" s="388"/>
    </row>
    <row r="69">
      <c r="A69" s="385"/>
      <c r="B69" s="377" t="s">
        <v>289</v>
      </c>
      <c r="C69" s="243" t="s">
        <v>718</v>
      </c>
      <c r="D69" s="243">
        <v>22.24</v>
      </c>
      <c r="E69" s="246">
        <v>1.0</v>
      </c>
      <c r="F69" s="386"/>
      <c r="G69" s="235"/>
      <c r="H69" s="387"/>
      <c r="I69" s="377" t="s">
        <v>289</v>
      </c>
      <c r="J69" s="243" t="s">
        <v>718</v>
      </c>
      <c r="K69" s="243">
        <v>43.3</v>
      </c>
      <c r="L69" s="246">
        <f>K69/35</f>
        <v>1.237142857</v>
      </c>
      <c r="M69" s="386"/>
      <c r="N69" s="235"/>
      <c r="O69" s="388"/>
      <c r="P69" s="388"/>
      <c r="Q69" s="388"/>
      <c r="R69" s="388"/>
      <c r="S69" s="388"/>
      <c r="T69" s="388"/>
      <c r="U69" s="388"/>
      <c r="V69" s="388"/>
      <c r="W69" s="388"/>
      <c r="X69" s="388"/>
      <c r="Y69" s="388"/>
    </row>
    <row r="70">
      <c r="A70" s="385"/>
      <c r="B70" s="377" t="s">
        <v>291</v>
      </c>
      <c r="C70" s="243">
        <v>5.0</v>
      </c>
      <c r="D70" s="243">
        <v>5.66</v>
      </c>
      <c r="E70" s="246">
        <v>1.0</v>
      </c>
      <c r="F70" s="386"/>
      <c r="G70" s="235"/>
      <c r="H70" s="387"/>
      <c r="I70" s="377" t="s">
        <v>291</v>
      </c>
      <c r="J70" s="243">
        <v>5.0</v>
      </c>
      <c r="K70" s="243">
        <v>3.5</v>
      </c>
      <c r="L70" s="246">
        <v>0.7</v>
      </c>
      <c r="M70" s="386"/>
      <c r="N70" s="235"/>
      <c r="O70" s="388"/>
      <c r="P70" s="388"/>
      <c r="Q70" s="388"/>
      <c r="R70" s="388"/>
      <c r="S70" s="388"/>
      <c r="T70" s="388"/>
      <c r="U70" s="388"/>
      <c r="V70" s="388"/>
      <c r="W70" s="388"/>
      <c r="X70" s="388"/>
      <c r="Y70" s="388"/>
    </row>
    <row r="71">
      <c r="A71" s="385"/>
      <c r="B71" s="377" t="s">
        <v>294</v>
      </c>
      <c r="C71" s="243" t="s">
        <v>719</v>
      </c>
      <c r="D71" s="243">
        <v>0.47</v>
      </c>
      <c r="E71" s="246">
        <v>1.0</v>
      </c>
      <c r="F71" s="386"/>
      <c r="G71" s="235"/>
      <c r="H71" s="387"/>
      <c r="I71" s="377" t="s">
        <v>294</v>
      </c>
      <c r="J71" s="243" t="s">
        <v>719</v>
      </c>
      <c r="K71" s="243">
        <v>0.3</v>
      </c>
      <c r="L71" s="246">
        <v>1.0</v>
      </c>
      <c r="M71" s="386"/>
      <c r="N71" s="235"/>
      <c r="O71" s="388"/>
      <c r="P71" s="388"/>
      <c r="Q71" s="388"/>
      <c r="R71" s="388"/>
      <c r="S71" s="388"/>
      <c r="T71" s="388"/>
      <c r="U71" s="388"/>
      <c r="V71" s="388"/>
      <c r="W71" s="388"/>
      <c r="X71" s="388"/>
      <c r="Y71" s="388"/>
    </row>
    <row r="72">
      <c r="A72" s="385"/>
      <c r="B72" s="377" t="s">
        <v>302</v>
      </c>
      <c r="C72" s="243" t="s">
        <v>303</v>
      </c>
      <c r="D72" s="243">
        <v>1477.46</v>
      </c>
      <c r="E72" s="246">
        <v>1.0</v>
      </c>
      <c r="F72" s="386"/>
      <c r="G72" s="235"/>
      <c r="H72" s="387"/>
      <c r="I72" s="377" t="s">
        <v>302</v>
      </c>
      <c r="J72" s="243" t="s">
        <v>303</v>
      </c>
      <c r="K72" s="243">
        <v>1044.0</v>
      </c>
      <c r="L72" s="246">
        <v>1.0</v>
      </c>
      <c r="M72" s="386"/>
      <c r="N72" s="235"/>
      <c r="O72" s="388"/>
      <c r="P72" s="388"/>
      <c r="Q72" s="388"/>
      <c r="R72" s="388"/>
      <c r="S72" s="388"/>
      <c r="T72" s="388"/>
      <c r="U72" s="388"/>
      <c r="V72" s="388"/>
      <c r="W72" s="388"/>
      <c r="X72" s="388"/>
      <c r="Y72" s="388"/>
    </row>
    <row r="73">
      <c r="A73" s="385"/>
      <c r="B73" s="377" t="s">
        <v>307</v>
      </c>
      <c r="C73" s="243" t="s">
        <v>308</v>
      </c>
      <c r="D73" s="243">
        <v>1.33</v>
      </c>
      <c r="E73" s="246">
        <v>1.0</v>
      </c>
      <c r="F73" s="386"/>
      <c r="G73" s="235"/>
      <c r="H73" s="387"/>
      <c r="I73" s="377" t="s">
        <v>307</v>
      </c>
      <c r="J73" s="243" t="s">
        <v>308</v>
      </c>
      <c r="K73" s="243">
        <v>1.1</v>
      </c>
      <c r="L73" s="246">
        <v>1.0</v>
      </c>
      <c r="M73" s="386"/>
      <c r="N73" s="235"/>
      <c r="O73" s="388"/>
      <c r="P73" s="388"/>
      <c r="Q73" s="388"/>
      <c r="R73" s="388"/>
      <c r="S73" s="388"/>
      <c r="T73" s="388"/>
      <c r="U73" s="388"/>
      <c r="V73" s="388"/>
      <c r="W73" s="388"/>
      <c r="X73" s="388"/>
      <c r="Y73" s="388"/>
    </row>
    <row r="74">
      <c r="A74" s="385"/>
      <c r="B74" s="377" t="s">
        <v>309</v>
      </c>
      <c r="C74" s="243" t="s">
        <v>720</v>
      </c>
      <c r="D74" s="243">
        <v>3.24</v>
      </c>
      <c r="E74" s="246">
        <v>1.0</v>
      </c>
      <c r="F74" s="386"/>
      <c r="G74" s="235"/>
      <c r="H74" s="387"/>
      <c r="I74" s="377" t="s">
        <v>309</v>
      </c>
      <c r="J74" s="243" t="s">
        <v>720</v>
      </c>
      <c r="K74" s="243">
        <v>1.5</v>
      </c>
      <c r="L74" s="246">
        <v>0.826</v>
      </c>
      <c r="M74" s="386"/>
      <c r="N74" s="235"/>
      <c r="O74" s="388"/>
      <c r="P74" s="388"/>
      <c r="Q74" s="388"/>
      <c r="R74" s="388"/>
      <c r="S74" s="388"/>
      <c r="T74" s="388"/>
      <c r="U74" s="388"/>
      <c r="V74" s="388"/>
      <c r="W74" s="388"/>
      <c r="X74" s="388"/>
      <c r="Y74" s="388"/>
    </row>
    <row r="75">
      <c r="A75" s="385"/>
      <c r="B75" s="377" t="s">
        <v>311</v>
      </c>
      <c r="C75" s="243" t="s">
        <v>312</v>
      </c>
      <c r="D75" s="243">
        <v>0.07</v>
      </c>
      <c r="E75" s="246">
        <v>1.0</v>
      </c>
      <c r="F75" s="386"/>
      <c r="G75" s="235"/>
      <c r="H75" s="387"/>
      <c r="I75" s="377" t="s">
        <v>311</v>
      </c>
      <c r="J75" s="243" t="s">
        <v>312</v>
      </c>
      <c r="K75" s="243">
        <v>0.1</v>
      </c>
      <c r="L75" s="246">
        <v>1.0</v>
      </c>
      <c r="M75" s="386"/>
      <c r="N75" s="235"/>
      <c r="O75" s="388"/>
      <c r="P75" s="388"/>
      <c r="Q75" s="388"/>
      <c r="R75" s="388"/>
      <c r="S75" s="388"/>
      <c r="T75" s="388"/>
      <c r="U75" s="388"/>
      <c r="V75" s="388"/>
      <c r="W75" s="388"/>
      <c r="X75" s="388"/>
      <c r="Y75" s="388"/>
    </row>
    <row r="76">
      <c r="A76" s="385"/>
      <c r="B76" s="377" t="s">
        <v>167</v>
      </c>
      <c r="C76" s="243">
        <v>2700.0</v>
      </c>
      <c r="D76" s="243">
        <v>830.66</v>
      </c>
      <c r="E76" s="246">
        <v>0.3076519</v>
      </c>
      <c r="F76" s="386"/>
      <c r="G76" s="235"/>
      <c r="H76" s="387"/>
      <c r="I76" s="377" t="s">
        <v>167</v>
      </c>
      <c r="J76" s="243">
        <v>2700.0</v>
      </c>
      <c r="K76" s="243">
        <v>677.8</v>
      </c>
      <c r="L76" s="246">
        <v>0.251</v>
      </c>
      <c r="M76" s="386"/>
      <c r="N76" s="235"/>
      <c r="O76" s="388"/>
      <c r="P76" s="388"/>
      <c r="Q76" s="388"/>
      <c r="R76" s="388"/>
      <c r="S76" s="388"/>
      <c r="T76" s="388"/>
      <c r="U76" s="388"/>
      <c r="V76" s="388"/>
      <c r="W76" s="388"/>
      <c r="X76" s="388"/>
      <c r="Y76" s="388"/>
    </row>
    <row r="77">
      <c r="A77" s="28"/>
    </row>
    <row r="78" ht="22.5" customHeight="1">
      <c r="A78" s="142"/>
      <c r="B78" s="261" t="s">
        <v>314</v>
      </c>
      <c r="C78" s="262"/>
      <c r="D78" s="262"/>
      <c r="E78" s="262"/>
      <c r="F78" s="262"/>
      <c r="G78" s="262"/>
      <c r="H78" s="262"/>
      <c r="I78" s="262"/>
      <c r="J78" s="262"/>
      <c r="K78" s="262"/>
      <c r="L78" s="262"/>
      <c r="M78" s="262"/>
      <c r="N78" s="263"/>
      <c r="O78" s="146"/>
      <c r="P78" s="146"/>
      <c r="Q78" s="146"/>
      <c r="R78" s="146"/>
      <c r="S78" s="146"/>
      <c r="T78" s="146"/>
      <c r="U78" s="146"/>
      <c r="V78" s="146"/>
      <c r="W78" s="146"/>
      <c r="X78" s="146"/>
      <c r="Y78" s="146"/>
    </row>
    <row r="79">
      <c r="A79" s="28"/>
      <c r="B79" s="264" t="s">
        <v>315</v>
      </c>
      <c r="C79" s="262"/>
      <c r="D79" s="262"/>
      <c r="E79" s="262"/>
      <c r="F79" s="262"/>
      <c r="G79" s="262"/>
      <c r="H79" s="262"/>
      <c r="I79" s="262"/>
      <c r="J79" s="262"/>
      <c r="K79" s="262"/>
      <c r="L79" s="262"/>
      <c r="M79" s="262"/>
      <c r="N79" s="263"/>
    </row>
    <row r="80">
      <c r="A80" s="28"/>
      <c r="B80" s="265" t="s">
        <v>316</v>
      </c>
      <c r="C80" s="266" t="s">
        <v>317</v>
      </c>
      <c r="D80" s="266" t="s">
        <v>318</v>
      </c>
      <c r="E80" s="267" t="s">
        <v>319</v>
      </c>
      <c r="F80" s="268" t="s">
        <v>320</v>
      </c>
      <c r="G80" s="269" t="s">
        <v>321</v>
      </c>
      <c r="H80" s="164"/>
      <c r="I80" s="270" t="s">
        <v>316</v>
      </c>
      <c r="J80" s="271" t="s">
        <v>317</v>
      </c>
      <c r="K80" s="271" t="s">
        <v>318</v>
      </c>
      <c r="L80" s="272" t="s">
        <v>319</v>
      </c>
      <c r="M80" s="273" t="s">
        <v>322</v>
      </c>
      <c r="N80" s="274" t="s">
        <v>323</v>
      </c>
    </row>
    <row r="81">
      <c r="A81" s="28"/>
      <c r="B81" s="275" t="s">
        <v>94</v>
      </c>
      <c r="C81" s="276" t="s">
        <v>324</v>
      </c>
      <c r="D81" s="277" t="s">
        <v>325</v>
      </c>
      <c r="E81" s="278">
        <v>3.0</v>
      </c>
      <c r="F81" s="279" t="str">
        <f t="shared" ref="F81:F89" si="2">IF(ISBLANK(E81),"— Belum diisi",IF(E81=1,"Sangat Tidak Sesuai",IF(E81=2,"Tidak Sesuai",IF(E81=3,"Cukup Sesuai",IF(E81=4,"Sesuai",IF(E81=5,"Sangat Sesuai","—"))))))</f>
        <v>Cukup Sesuai</v>
      </c>
      <c r="G81" s="280" t="s">
        <v>721</v>
      </c>
      <c r="H81" s="164"/>
      <c r="I81" s="281" t="s">
        <v>94</v>
      </c>
      <c r="J81" s="282" t="s">
        <v>324</v>
      </c>
      <c r="K81" s="283" t="s">
        <v>325</v>
      </c>
      <c r="L81" s="278">
        <v>3.0</v>
      </c>
      <c r="M81" s="285" t="str">
        <f t="shared" ref="M81:M89" si="3">IF(ISBLANK(L81),"— Belum diisi",IF(L81=1,"Sangat Tidak Sesuai",IF(L81=2,"Tidak Sesuai",IF(L81=3,"Cukup Sesuai",IF(L81=4,"Sesuai",IF(L81=5,"Sangat Sesuai","—"))))))</f>
        <v>Cukup Sesuai</v>
      </c>
      <c r="N81" s="280" t="s">
        <v>722</v>
      </c>
    </row>
    <row r="82">
      <c r="A82" s="28"/>
      <c r="B82" s="275" t="s">
        <v>95</v>
      </c>
      <c r="C82" s="286" t="s">
        <v>327</v>
      </c>
      <c r="D82" s="287" t="s">
        <v>328</v>
      </c>
      <c r="E82" s="278">
        <v>3.0</v>
      </c>
      <c r="F82" s="288" t="str">
        <f t="shared" si="2"/>
        <v>Cukup Sesuai</v>
      </c>
      <c r="G82" s="280"/>
      <c r="H82" s="164"/>
      <c r="I82" s="281" t="s">
        <v>95</v>
      </c>
      <c r="J82" s="286" t="s">
        <v>327</v>
      </c>
      <c r="K82" s="287" t="s">
        <v>328</v>
      </c>
      <c r="L82" s="278">
        <v>3.0</v>
      </c>
      <c r="M82" s="288" t="str">
        <f t="shared" si="3"/>
        <v>Cukup Sesuai</v>
      </c>
      <c r="N82" s="280"/>
    </row>
    <row r="83">
      <c r="A83" s="28"/>
      <c r="B83" s="275" t="s">
        <v>96</v>
      </c>
      <c r="C83" s="276" t="s">
        <v>330</v>
      </c>
      <c r="D83" s="277" t="s">
        <v>331</v>
      </c>
      <c r="E83" s="278">
        <v>3.0</v>
      </c>
      <c r="F83" s="279" t="str">
        <f t="shared" si="2"/>
        <v>Cukup Sesuai</v>
      </c>
      <c r="G83" s="278" t="s">
        <v>723</v>
      </c>
      <c r="H83" s="164"/>
      <c r="I83" s="281" t="s">
        <v>96</v>
      </c>
      <c r="J83" s="282" t="s">
        <v>330</v>
      </c>
      <c r="K83" s="289" t="s">
        <v>331</v>
      </c>
      <c r="L83" s="278">
        <v>3.0</v>
      </c>
      <c r="M83" s="290" t="str">
        <f t="shared" si="3"/>
        <v>Cukup Sesuai</v>
      </c>
      <c r="N83" s="278" t="s">
        <v>723</v>
      </c>
    </row>
    <row r="84">
      <c r="A84" s="28"/>
      <c r="B84" s="275" t="s">
        <v>97</v>
      </c>
      <c r="C84" s="286" t="s">
        <v>334</v>
      </c>
      <c r="D84" s="287" t="s">
        <v>335</v>
      </c>
      <c r="E84" s="278">
        <v>4.0</v>
      </c>
      <c r="F84" s="288" t="str">
        <f t="shared" si="2"/>
        <v>Sesuai</v>
      </c>
      <c r="G84" s="297"/>
      <c r="H84" s="164"/>
      <c r="I84" s="281" t="s">
        <v>97</v>
      </c>
      <c r="J84" s="286" t="s">
        <v>334</v>
      </c>
      <c r="K84" s="287" t="s">
        <v>335</v>
      </c>
      <c r="L84" s="278">
        <v>4.0</v>
      </c>
      <c r="M84" s="288" t="str">
        <f t="shared" si="3"/>
        <v>Sesuai</v>
      </c>
      <c r="N84" s="297"/>
    </row>
    <row r="85">
      <c r="A85" s="28"/>
      <c r="B85" s="275" t="s">
        <v>98</v>
      </c>
      <c r="C85" s="276" t="s">
        <v>336</v>
      </c>
      <c r="D85" s="277" t="s">
        <v>337</v>
      </c>
      <c r="E85" s="278">
        <v>3.0</v>
      </c>
      <c r="F85" s="279" t="str">
        <f t="shared" si="2"/>
        <v>Cukup Sesuai</v>
      </c>
      <c r="G85" s="280" t="s">
        <v>724</v>
      </c>
      <c r="H85" s="164"/>
      <c r="I85" s="281" t="s">
        <v>98</v>
      </c>
      <c r="J85" s="282" t="s">
        <v>336</v>
      </c>
      <c r="K85" s="289" t="s">
        <v>337</v>
      </c>
      <c r="L85" s="278">
        <v>3.0</v>
      </c>
      <c r="M85" s="290" t="str">
        <f t="shared" si="3"/>
        <v>Cukup Sesuai</v>
      </c>
      <c r="N85" s="280" t="s">
        <v>724</v>
      </c>
    </row>
    <row r="86">
      <c r="A86" s="28"/>
      <c r="B86" s="291" t="s">
        <v>99</v>
      </c>
      <c r="C86" s="286" t="s">
        <v>339</v>
      </c>
      <c r="D86" s="287" t="s">
        <v>340</v>
      </c>
      <c r="E86" s="278">
        <v>3.0</v>
      </c>
      <c r="F86" s="288" t="str">
        <f t="shared" si="2"/>
        <v>Cukup Sesuai</v>
      </c>
      <c r="G86" s="278" t="s">
        <v>725</v>
      </c>
      <c r="H86" s="164"/>
      <c r="I86" s="292" t="s">
        <v>99</v>
      </c>
      <c r="J86" s="286" t="s">
        <v>339</v>
      </c>
      <c r="K86" s="287" t="s">
        <v>340</v>
      </c>
      <c r="L86" s="278">
        <v>3.0</v>
      </c>
      <c r="M86" s="288" t="str">
        <f t="shared" si="3"/>
        <v>Cukup Sesuai</v>
      </c>
      <c r="N86" s="280" t="s">
        <v>726</v>
      </c>
    </row>
    <row r="87">
      <c r="A87" s="28"/>
      <c r="B87" s="293" t="s">
        <v>100</v>
      </c>
      <c r="C87" s="276" t="s">
        <v>343</v>
      </c>
      <c r="D87" s="277" t="s">
        <v>344</v>
      </c>
      <c r="E87" s="278">
        <v>3.0</v>
      </c>
      <c r="F87" s="279" t="str">
        <f t="shared" si="2"/>
        <v>Cukup Sesuai</v>
      </c>
      <c r="G87" s="280" t="s">
        <v>345</v>
      </c>
      <c r="H87" s="164"/>
      <c r="I87" s="294" t="s">
        <v>100</v>
      </c>
      <c r="J87" s="282" t="s">
        <v>343</v>
      </c>
      <c r="K87" s="289" t="s">
        <v>344</v>
      </c>
      <c r="L87" s="278">
        <v>3.0</v>
      </c>
      <c r="M87" s="290" t="str">
        <f t="shared" si="3"/>
        <v>Cukup Sesuai</v>
      </c>
      <c r="N87" s="280" t="s">
        <v>345</v>
      </c>
    </row>
    <row r="88">
      <c r="A88" s="28"/>
      <c r="B88" s="295" t="s">
        <v>101</v>
      </c>
      <c r="C88" s="286" t="s">
        <v>346</v>
      </c>
      <c r="D88" s="287" t="s">
        <v>347</v>
      </c>
      <c r="E88" s="278">
        <v>3.0</v>
      </c>
      <c r="F88" s="288" t="str">
        <f t="shared" si="2"/>
        <v>Cukup Sesuai</v>
      </c>
      <c r="G88" s="280" t="s">
        <v>727</v>
      </c>
      <c r="H88" s="164"/>
      <c r="I88" s="296" t="s">
        <v>101</v>
      </c>
      <c r="J88" s="286" t="s">
        <v>346</v>
      </c>
      <c r="K88" s="287" t="s">
        <v>347</v>
      </c>
      <c r="L88" s="278">
        <v>4.0</v>
      </c>
      <c r="M88" s="288" t="str">
        <f t="shared" si="3"/>
        <v>Sesuai</v>
      </c>
      <c r="N88" s="280" t="s">
        <v>728</v>
      </c>
    </row>
    <row r="89">
      <c r="A89" s="28"/>
      <c r="B89" s="298" t="s">
        <v>102</v>
      </c>
      <c r="C89" s="276" t="s">
        <v>349</v>
      </c>
      <c r="D89" s="277" t="s">
        <v>350</v>
      </c>
      <c r="E89" s="278">
        <v>4.0</v>
      </c>
      <c r="F89" s="279" t="str">
        <f t="shared" si="2"/>
        <v>Sesuai</v>
      </c>
      <c r="G89" s="297"/>
      <c r="H89" s="164"/>
      <c r="I89" s="299" t="s">
        <v>102</v>
      </c>
      <c r="J89" s="282" t="s">
        <v>349</v>
      </c>
      <c r="K89" s="289" t="s">
        <v>350</v>
      </c>
      <c r="L89" s="278">
        <v>4.0</v>
      </c>
      <c r="M89" s="290" t="str">
        <f t="shared" si="3"/>
        <v>Sesuai</v>
      </c>
      <c r="N89" s="297"/>
    </row>
    <row r="90">
      <c r="A90" s="28"/>
      <c r="B90" s="300" t="s">
        <v>351</v>
      </c>
      <c r="C90" s="301"/>
      <c r="D90" s="27"/>
      <c r="E90" s="302">
        <f>IFERROR(AVERAGE(E81,E82,E83,E84,E85,E86,E87,E88,E89),"—")</f>
        <v>3.222222222</v>
      </c>
      <c r="F90" s="303" t="str">
        <f>IF(ISNUMBER(E90),IF(E90&lt;2,"Sangat Tidak Sesuai",IF(E90&lt;3,"Tidak Sesuai",IF(E90&lt;4,"Cukup Sesuai",IF(E90&lt;4.6,"Sesuai","Sangat Sesuai")))),"—")</f>
        <v>Cukup Sesuai</v>
      </c>
      <c r="G90" s="3"/>
      <c r="H90" s="164"/>
      <c r="I90" s="304" t="s">
        <v>351</v>
      </c>
      <c r="J90" s="301"/>
      <c r="K90" s="27"/>
      <c r="L90" s="294">
        <f>IFERROR(AVERAGE(L81,L82,L83,L84,L85,L86,L87,L88,L89),"—")</f>
        <v>3.333333333</v>
      </c>
      <c r="M90" s="305" t="str">
        <f>IF(ISNUMBER(L90),IF(L90&lt;2,"Sangat Tidak Sesuai",IF(L90&lt;3,"Tidak Sesuai",IF(L90&lt;4,"Cukup Sesuai",IF(L90&lt;4.6,"Sesuai","Sangat Sesuai")))),"—")</f>
        <v>Cukup Sesuai</v>
      </c>
      <c r="N90" s="3"/>
    </row>
    <row r="91">
      <c r="A91" s="28"/>
      <c r="B91" s="306"/>
    </row>
    <row r="92" ht="22.5" customHeight="1">
      <c r="A92" s="142"/>
      <c r="B92" s="307" t="s">
        <v>352</v>
      </c>
      <c r="C92" s="170"/>
      <c r="D92" s="170"/>
      <c r="E92" s="170"/>
      <c r="F92" s="170"/>
      <c r="G92" s="170"/>
      <c r="H92" s="170"/>
      <c r="I92" s="170"/>
      <c r="J92" s="170"/>
      <c r="K92" s="170"/>
      <c r="L92" s="170"/>
      <c r="M92" s="170"/>
      <c r="N92" s="308"/>
      <c r="O92" s="146"/>
      <c r="P92" s="146"/>
      <c r="Q92" s="146"/>
      <c r="R92" s="146"/>
      <c r="S92" s="146"/>
      <c r="T92" s="146"/>
      <c r="U92" s="146"/>
      <c r="V92" s="146"/>
      <c r="W92" s="146"/>
      <c r="X92" s="146"/>
      <c r="Y92" s="146"/>
    </row>
    <row r="93" ht="24.75" customHeight="1">
      <c r="A93" s="407"/>
      <c r="B93" s="436" t="s">
        <v>353</v>
      </c>
      <c r="C93" s="310"/>
      <c r="D93" s="310"/>
      <c r="E93" s="310"/>
      <c r="F93" s="310"/>
      <c r="G93" s="311"/>
      <c r="H93" s="437"/>
      <c r="I93" s="313" t="s">
        <v>354</v>
      </c>
      <c r="J93" s="30"/>
      <c r="K93" s="30"/>
      <c r="L93" s="30"/>
      <c r="M93" s="30"/>
      <c r="N93" s="3"/>
      <c r="O93" s="409"/>
      <c r="P93" s="409"/>
      <c r="Q93" s="409"/>
      <c r="R93" s="409"/>
      <c r="S93" s="409"/>
      <c r="T93" s="409"/>
      <c r="U93" s="409"/>
      <c r="V93" s="409"/>
      <c r="W93" s="409"/>
      <c r="X93" s="409"/>
      <c r="Y93" s="409"/>
    </row>
    <row r="94">
      <c r="A94" s="28"/>
      <c r="B94" s="314" t="s">
        <v>355</v>
      </c>
      <c r="C94" s="315"/>
      <c r="D94" s="315"/>
      <c r="E94" s="315"/>
      <c r="F94" s="315"/>
      <c r="G94" s="316"/>
      <c r="H94" s="260"/>
      <c r="I94" s="317" t="s">
        <v>355</v>
      </c>
      <c r="J94" s="30"/>
      <c r="K94" s="30"/>
      <c r="L94" s="30"/>
      <c r="M94" s="30"/>
      <c r="N94" s="3"/>
    </row>
    <row r="95">
      <c r="A95" s="28"/>
      <c r="B95" s="318" t="s">
        <v>356</v>
      </c>
      <c r="H95" s="260"/>
      <c r="I95" s="319" t="s">
        <v>356</v>
      </c>
      <c r="J95" s="30"/>
      <c r="K95" s="30"/>
      <c r="L95" s="30"/>
      <c r="M95" s="30"/>
      <c r="N95" s="3"/>
    </row>
    <row r="96">
      <c r="A96" s="28"/>
      <c r="B96" s="438" t="s">
        <v>729</v>
      </c>
      <c r="G96" s="321"/>
      <c r="H96" s="439"/>
      <c r="I96" s="440" t="s">
        <v>729</v>
      </c>
      <c r="J96" s="324"/>
      <c r="K96" s="324"/>
      <c r="L96" s="324"/>
      <c r="M96" s="324"/>
      <c r="N96" s="325"/>
    </row>
    <row r="97">
      <c r="A97" s="28"/>
      <c r="B97" s="326"/>
      <c r="G97" s="321"/>
      <c r="H97" s="439"/>
      <c r="I97" s="327"/>
      <c r="N97" s="328"/>
    </row>
    <row r="98">
      <c r="A98" s="28"/>
      <c r="B98" s="326"/>
      <c r="G98" s="321"/>
      <c r="H98" s="439"/>
      <c r="I98" s="327"/>
      <c r="N98" s="328"/>
    </row>
    <row r="99">
      <c r="A99" s="28"/>
      <c r="B99" s="329"/>
      <c r="C99" s="330"/>
      <c r="D99" s="330"/>
      <c r="E99" s="330"/>
      <c r="F99" s="330"/>
      <c r="G99" s="331"/>
      <c r="H99" s="439"/>
      <c r="I99" s="332"/>
      <c r="J99" s="333"/>
      <c r="K99" s="333"/>
      <c r="L99" s="333"/>
      <c r="M99" s="333"/>
      <c r="N99" s="334"/>
    </row>
    <row r="100">
      <c r="A100" s="28"/>
      <c r="B100" s="28"/>
      <c r="C100" s="28"/>
      <c r="D100" s="28"/>
      <c r="E100" s="28"/>
      <c r="F100" s="28"/>
      <c r="G100" s="28"/>
    </row>
    <row r="101">
      <c r="A101" s="28"/>
      <c r="B101" s="335" t="s">
        <v>358</v>
      </c>
      <c r="C101" s="144"/>
      <c r="D101" s="144"/>
      <c r="E101" s="144"/>
      <c r="F101" s="144"/>
      <c r="G101" s="145"/>
      <c r="H101" s="164"/>
      <c r="I101" s="336" t="s">
        <v>358</v>
      </c>
      <c r="J101" s="30"/>
      <c r="K101" s="30"/>
      <c r="L101" s="30"/>
      <c r="M101" s="30"/>
      <c r="N101" s="3"/>
    </row>
    <row r="102">
      <c r="A102" s="28"/>
      <c r="B102" s="441" t="s">
        <v>613</v>
      </c>
      <c r="G102" s="328"/>
      <c r="H102" s="439"/>
      <c r="I102" s="442" t="s">
        <v>359</v>
      </c>
      <c r="J102" s="30"/>
      <c r="K102" s="30"/>
      <c r="L102" s="30"/>
      <c r="M102" s="30"/>
      <c r="N102" s="3"/>
    </row>
    <row r="103">
      <c r="A103" s="28"/>
      <c r="B103" s="342"/>
      <c r="G103" s="328"/>
      <c r="H103" s="443"/>
      <c r="I103" s="444" t="s">
        <v>613</v>
      </c>
      <c r="J103" s="324"/>
      <c r="K103" s="324"/>
      <c r="L103" s="324"/>
      <c r="M103" s="324"/>
      <c r="N103" s="325"/>
    </row>
    <row r="104">
      <c r="A104" s="28"/>
      <c r="B104" s="342"/>
      <c r="G104" s="328"/>
      <c r="H104" s="443"/>
      <c r="I104" s="327"/>
      <c r="N104" s="328"/>
    </row>
    <row r="105">
      <c r="A105" s="28"/>
      <c r="B105" s="343"/>
      <c r="C105" s="163"/>
      <c r="D105" s="163"/>
      <c r="E105" s="163"/>
      <c r="F105" s="163"/>
      <c r="G105" s="344"/>
      <c r="H105" s="443"/>
      <c r="I105" s="327"/>
      <c r="N105" s="328"/>
    </row>
    <row r="106">
      <c r="A106" s="28"/>
      <c r="B106" s="445"/>
      <c r="C106" s="445"/>
      <c r="D106" s="445"/>
      <c r="E106" s="445"/>
      <c r="F106" s="445"/>
      <c r="G106" s="445"/>
      <c r="H106" s="443"/>
      <c r="I106" s="332"/>
      <c r="J106" s="333"/>
      <c r="K106" s="333"/>
      <c r="L106" s="333"/>
      <c r="M106" s="333"/>
      <c r="N106" s="334"/>
    </row>
    <row r="107">
      <c r="A107" s="28"/>
    </row>
    <row r="108">
      <c r="A108" s="28"/>
      <c r="B108" s="345" t="s">
        <v>361</v>
      </c>
      <c r="C108" s="30"/>
      <c r="D108" s="30"/>
      <c r="E108" s="30"/>
      <c r="F108" s="30"/>
      <c r="G108" s="3"/>
      <c r="H108" s="164"/>
      <c r="I108" s="346" t="s">
        <v>361</v>
      </c>
      <c r="J108" s="30"/>
      <c r="K108" s="30"/>
      <c r="L108" s="30"/>
      <c r="M108" s="30"/>
      <c r="N108" s="3"/>
    </row>
    <row r="109">
      <c r="A109" s="28"/>
      <c r="B109" s="347" t="s">
        <v>362</v>
      </c>
      <c r="C109" s="30"/>
      <c r="D109" s="30"/>
      <c r="E109" s="30"/>
      <c r="F109" s="30"/>
      <c r="G109" s="3"/>
      <c r="H109" s="164"/>
      <c r="I109" s="348" t="s">
        <v>362</v>
      </c>
      <c r="J109" s="30"/>
      <c r="K109" s="30"/>
      <c r="L109" s="30"/>
      <c r="M109" s="30"/>
      <c r="N109" s="3"/>
    </row>
    <row r="110">
      <c r="A110" s="28"/>
      <c r="B110" s="446" t="s">
        <v>363</v>
      </c>
      <c r="C110" s="324"/>
      <c r="D110" s="324"/>
      <c r="E110" s="324"/>
      <c r="F110" s="324"/>
      <c r="G110" s="325"/>
      <c r="H110" s="443"/>
      <c r="I110" s="447" t="s">
        <v>363</v>
      </c>
      <c r="J110" s="324"/>
      <c r="K110" s="324"/>
      <c r="L110" s="324"/>
      <c r="M110" s="324"/>
      <c r="N110" s="325"/>
    </row>
    <row r="111">
      <c r="A111" s="28"/>
      <c r="B111" s="327"/>
      <c r="G111" s="328"/>
      <c r="H111" s="443"/>
      <c r="I111" s="327"/>
      <c r="N111" s="328"/>
    </row>
    <row r="112">
      <c r="A112" s="28"/>
      <c r="B112" s="327"/>
      <c r="G112" s="328"/>
      <c r="H112" s="443"/>
      <c r="I112" s="327"/>
      <c r="N112" s="328"/>
    </row>
    <row r="113">
      <c r="A113" s="28"/>
      <c r="B113" s="332"/>
      <c r="C113" s="333"/>
      <c r="D113" s="333"/>
      <c r="E113" s="333"/>
      <c r="F113" s="333"/>
      <c r="G113" s="334"/>
      <c r="H113" s="443"/>
      <c r="I113" s="332"/>
      <c r="J113" s="333"/>
      <c r="K113" s="333"/>
      <c r="L113" s="333"/>
      <c r="M113" s="333"/>
      <c r="N113" s="334"/>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sheetData>
  <mergeCells count="131">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63:G63"/>
    <mergeCell ref="F64:G64"/>
    <mergeCell ref="F65:G65"/>
    <mergeCell ref="F73:G73"/>
    <mergeCell ref="F74:G74"/>
    <mergeCell ref="F75:G75"/>
    <mergeCell ref="F76:G76"/>
    <mergeCell ref="F66:G66"/>
    <mergeCell ref="F67:G67"/>
    <mergeCell ref="F68:G68"/>
    <mergeCell ref="F69:G69"/>
    <mergeCell ref="F70:G70"/>
    <mergeCell ref="F71:G71"/>
    <mergeCell ref="F72:G72"/>
    <mergeCell ref="M49:N49"/>
    <mergeCell ref="M50:N50"/>
    <mergeCell ref="M51:N51"/>
    <mergeCell ref="M52:N52"/>
    <mergeCell ref="M53:N53"/>
    <mergeCell ref="M54:N54"/>
    <mergeCell ref="M55:N55"/>
    <mergeCell ref="M56:N56"/>
    <mergeCell ref="M57:N57"/>
    <mergeCell ref="M58:N58"/>
    <mergeCell ref="M59:N59"/>
    <mergeCell ref="B61:N61"/>
    <mergeCell ref="B62:G62"/>
    <mergeCell ref="I62:N62"/>
    <mergeCell ref="M63:N63"/>
    <mergeCell ref="M64:N64"/>
    <mergeCell ref="M65:N65"/>
    <mergeCell ref="M66:N66"/>
    <mergeCell ref="M67:N67"/>
    <mergeCell ref="M68:N68"/>
    <mergeCell ref="M69:N69"/>
    <mergeCell ref="M70:N70"/>
    <mergeCell ref="M71:N71"/>
    <mergeCell ref="M72:N72"/>
    <mergeCell ref="M73:N73"/>
    <mergeCell ref="M74:N74"/>
    <mergeCell ref="M75:N75"/>
    <mergeCell ref="M76:N76"/>
    <mergeCell ref="B78:N78"/>
    <mergeCell ref="B79:N79"/>
    <mergeCell ref="B90:D90"/>
    <mergeCell ref="F90:G90"/>
    <mergeCell ref="I90:K90"/>
    <mergeCell ref="M90:N90"/>
    <mergeCell ref="B92:N92"/>
    <mergeCell ref="B96:G99"/>
    <mergeCell ref="B101:G101"/>
    <mergeCell ref="B102:G105"/>
    <mergeCell ref="B108:G108"/>
    <mergeCell ref="B109:G109"/>
    <mergeCell ref="B110:G113"/>
    <mergeCell ref="I101:N101"/>
    <mergeCell ref="I102:N102"/>
    <mergeCell ref="I103:N106"/>
    <mergeCell ref="I108:N108"/>
    <mergeCell ref="I109:N109"/>
    <mergeCell ref="I110:N113"/>
    <mergeCell ref="B93:G93"/>
    <mergeCell ref="I93:N93"/>
    <mergeCell ref="B94:G94"/>
    <mergeCell ref="I94:N94"/>
    <mergeCell ref="B95:G95"/>
    <mergeCell ref="I95:N95"/>
    <mergeCell ref="I96:N99"/>
    <mergeCell ref="I15:N15"/>
    <mergeCell ref="M16:N16"/>
    <mergeCell ref="B2:N2"/>
    <mergeCell ref="B3:N3"/>
    <mergeCell ref="B5:C5"/>
    <mergeCell ref="D5:E5"/>
    <mergeCell ref="B14:N14"/>
    <mergeCell ref="B15:G15"/>
    <mergeCell ref="F16:G16"/>
    <mergeCell ref="F21:G21"/>
    <mergeCell ref="F22:G22"/>
    <mergeCell ref="F23:G23"/>
    <mergeCell ref="F25:G25"/>
    <mergeCell ref="F26:G26"/>
    <mergeCell ref="F27:G27"/>
    <mergeCell ref="F29:G29"/>
    <mergeCell ref="F33:G33"/>
    <mergeCell ref="F17:G17"/>
    <mergeCell ref="M17:N17"/>
    <mergeCell ref="F18:G18"/>
    <mergeCell ref="M18:N18"/>
    <mergeCell ref="F19:G19"/>
    <mergeCell ref="M19:N19"/>
    <mergeCell ref="M21:N21"/>
    <mergeCell ref="M22:N22"/>
    <mergeCell ref="M23:N23"/>
    <mergeCell ref="M25:N25"/>
    <mergeCell ref="M26:N26"/>
    <mergeCell ref="M27:N27"/>
    <mergeCell ref="M29:N29"/>
    <mergeCell ref="B31:N31"/>
    <mergeCell ref="B32:G32"/>
    <mergeCell ref="I32:N32"/>
    <mergeCell ref="M33:N33"/>
    <mergeCell ref="B39:N39"/>
    <mergeCell ref="B40:G40"/>
    <mergeCell ref="I40:N40"/>
    <mergeCell ref="M41:N41"/>
    <mergeCell ref="M42:N42"/>
    <mergeCell ref="M43:N43"/>
    <mergeCell ref="M44:N44"/>
    <mergeCell ref="M45:N45"/>
    <mergeCell ref="M46:N46"/>
    <mergeCell ref="M47:N47"/>
    <mergeCell ref="M48:N48"/>
  </mergeCells>
  <conditionalFormatting sqref="E42:E59 L42:L59 E64:E76 L64:L76">
    <cfRule type="cellIs" dxfId="2" priority="1" operator="greaterThan">
      <formula>"100%"</formula>
    </cfRule>
  </conditionalFormatting>
  <conditionalFormatting sqref="E42:E59 L42:L59 E64:E76 L64:L76">
    <cfRule type="cellIs" dxfId="1" priority="2" operator="lessThan">
      <formula>"100%"</formula>
    </cfRule>
  </conditionalFormatting>
  <conditionalFormatting sqref="E42:E59 E64:E76">
    <cfRule type="cellIs" dxfId="3" priority="3" operator="equal">
      <formula>"100%"</formula>
    </cfRule>
  </conditionalFormatting>
  <conditionalFormatting sqref="L42:L59 L64:L76">
    <cfRule type="cellIs" dxfId="0" priority="4" operator="equal">
      <formula>"100%"</formula>
    </cfRule>
  </conditionalFormatting>
  <dataValidations>
    <dataValidation type="list" allowBlank="1" showInputMessage="1" showErrorMessage="1" prompt="Nilai Tidak Valid - Silakan pilih nilai 1–5 dari dropdown." sqref="E81:E89 L81:L89">
      <formula1>"1,2,3,4,5"</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
    <col customWidth="1" min="2" max="2" width="26.0"/>
    <col customWidth="1" min="3" max="3" width="24.0"/>
    <col customWidth="1" min="4" max="5" width="22.0"/>
    <col customWidth="1" min="6" max="6" width="18.0"/>
    <col customWidth="1" min="7" max="7" width="28.0"/>
    <col customWidth="1" min="9" max="9" width="27.57"/>
    <col customWidth="1" min="10" max="10" width="15.86"/>
    <col customWidth="1" min="11" max="11" width="20.86"/>
    <col customWidth="1" min="12" max="12" width="25.71"/>
    <col customWidth="1" min="14" max="14" width="20.29"/>
  </cols>
  <sheetData>
    <row r="1">
      <c r="A1" s="28"/>
      <c r="B1" s="28"/>
      <c r="C1" s="28"/>
      <c r="D1" s="28"/>
      <c r="E1" s="28"/>
      <c r="F1" s="28"/>
      <c r="G1" s="28"/>
    </row>
    <row r="2" ht="33.75" customHeight="1">
      <c r="A2" s="351"/>
      <c r="B2" s="352" t="s">
        <v>730</v>
      </c>
      <c r="C2" s="30"/>
      <c r="D2" s="30"/>
      <c r="E2" s="30"/>
      <c r="F2" s="30"/>
      <c r="G2" s="30"/>
      <c r="H2" s="30"/>
      <c r="I2" s="30"/>
      <c r="J2" s="30"/>
      <c r="K2" s="30"/>
      <c r="L2" s="30"/>
      <c r="M2" s="30"/>
      <c r="N2" s="3"/>
      <c r="O2" s="353"/>
      <c r="P2" s="353"/>
      <c r="Q2" s="353"/>
      <c r="R2" s="353"/>
      <c r="S2" s="353"/>
      <c r="T2" s="353"/>
      <c r="U2" s="353"/>
      <c r="V2" s="353"/>
      <c r="W2" s="353"/>
      <c r="X2" s="353"/>
      <c r="Y2" s="353"/>
      <c r="Z2" s="353"/>
    </row>
    <row r="3">
      <c r="A3" s="28"/>
      <c r="B3" s="133" t="s">
        <v>731</v>
      </c>
      <c r="C3" s="30"/>
      <c r="D3" s="30"/>
      <c r="E3" s="30"/>
      <c r="F3" s="30"/>
      <c r="G3" s="30"/>
      <c r="H3" s="30"/>
      <c r="I3" s="30"/>
      <c r="J3" s="30"/>
      <c r="K3" s="30"/>
      <c r="L3" s="30"/>
      <c r="M3" s="30"/>
      <c r="N3" s="3"/>
    </row>
    <row r="4">
      <c r="A4" s="28"/>
      <c r="B4" s="28"/>
      <c r="C4" s="28"/>
      <c r="D4" s="28"/>
      <c r="E4" s="28"/>
      <c r="F4" s="28"/>
      <c r="G4" s="28"/>
    </row>
    <row r="5" ht="24.0" customHeight="1">
      <c r="A5" s="142"/>
      <c r="B5" s="134" t="s">
        <v>146</v>
      </c>
      <c r="C5" s="27"/>
      <c r="D5" s="134" t="s">
        <v>147</v>
      </c>
      <c r="E5" s="27"/>
      <c r="F5" s="142"/>
      <c r="G5" s="142"/>
      <c r="H5" s="146"/>
      <c r="I5" s="146"/>
      <c r="J5" s="146"/>
      <c r="K5" s="146"/>
      <c r="L5" s="146"/>
      <c r="M5" s="146"/>
      <c r="N5" s="146"/>
      <c r="O5" s="146"/>
      <c r="P5" s="146"/>
      <c r="Q5" s="146"/>
      <c r="R5" s="146"/>
      <c r="S5" s="146"/>
      <c r="T5" s="146"/>
      <c r="U5" s="146"/>
      <c r="V5" s="146"/>
      <c r="W5" s="146"/>
      <c r="X5" s="146"/>
      <c r="Y5" s="146"/>
      <c r="Z5" s="146"/>
    </row>
    <row r="6">
      <c r="A6" s="28"/>
      <c r="B6" s="135" t="s">
        <v>148</v>
      </c>
      <c r="C6" s="136">
        <v>55.0</v>
      </c>
      <c r="D6" s="135" t="s">
        <v>149</v>
      </c>
      <c r="E6" s="138" t="s">
        <v>674</v>
      </c>
      <c r="F6" s="28"/>
      <c r="G6" s="28"/>
    </row>
    <row r="7">
      <c r="A7" s="28"/>
      <c r="B7" s="139" t="s">
        <v>150</v>
      </c>
      <c r="C7" s="136" t="s">
        <v>675</v>
      </c>
      <c r="D7" s="139" t="s">
        <v>152</v>
      </c>
      <c r="E7" s="138" t="s">
        <v>732</v>
      </c>
      <c r="F7" s="28"/>
      <c r="G7" s="28"/>
    </row>
    <row r="8">
      <c r="A8" s="28"/>
      <c r="B8" s="135" t="s">
        <v>154</v>
      </c>
      <c r="C8" s="136">
        <v>83.0</v>
      </c>
      <c r="D8" s="135" t="s">
        <v>155</v>
      </c>
      <c r="E8" s="138" t="s">
        <v>733</v>
      </c>
      <c r="F8" s="28"/>
      <c r="G8" s="28"/>
    </row>
    <row r="9">
      <c r="A9" s="28"/>
      <c r="B9" s="139" t="s">
        <v>157</v>
      </c>
      <c r="C9" s="136">
        <v>162.0</v>
      </c>
      <c r="D9" s="139" t="s">
        <v>158</v>
      </c>
      <c r="E9" s="138" t="s">
        <v>734</v>
      </c>
      <c r="F9" s="28"/>
      <c r="G9" s="28"/>
    </row>
    <row r="10">
      <c r="A10" s="28"/>
      <c r="B10" s="135" t="s">
        <v>160</v>
      </c>
      <c r="C10" s="136" t="s">
        <v>679</v>
      </c>
      <c r="D10" s="135" t="s">
        <v>162</v>
      </c>
      <c r="E10" s="138" t="s">
        <v>735</v>
      </c>
      <c r="F10" s="28"/>
      <c r="G10" s="28"/>
    </row>
    <row r="11">
      <c r="A11" s="28"/>
      <c r="B11" s="139" t="s">
        <v>93</v>
      </c>
      <c r="C11" s="136" t="s">
        <v>736</v>
      </c>
      <c r="D11" s="139" t="s">
        <v>165</v>
      </c>
      <c r="E11" s="138" t="s">
        <v>737</v>
      </c>
      <c r="F11" s="28"/>
      <c r="G11" s="28"/>
    </row>
    <row r="12">
      <c r="A12" s="28"/>
      <c r="B12" s="141"/>
      <c r="C12" s="141"/>
      <c r="D12" s="135" t="s">
        <v>167</v>
      </c>
      <c r="E12" s="138" t="s">
        <v>683</v>
      </c>
      <c r="F12" s="28"/>
      <c r="G12" s="28"/>
    </row>
    <row r="13">
      <c r="A13" s="28"/>
      <c r="B13" s="28"/>
      <c r="C13" s="28"/>
      <c r="D13" s="28"/>
      <c r="E13" s="28"/>
      <c r="F13" s="28"/>
      <c r="G13" s="28"/>
    </row>
    <row r="14" ht="24.0" customHeight="1">
      <c r="A14" s="142"/>
      <c r="B14" s="143" t="s">
        <v>169</v>
      </c>
      <c r="C14" s="144"/>
      <c r="D14" s="144"/>
      <c r="E14" s="144"/>
      <c r="F14" s="144"/>
      <c r="G14" s="144"/>
      <c r="H14" s="144"/>
      <c r="I14" s="144"/>
      <c r="J14" s="144"/>
      <c r="K14" s="144"/>
      <c r="L14" s="144"/>
      <c r="M14" s="144"/>
      <c r="N14" s="145"/>
      <c r="O14" s="146"/>
      <c r="P14" s="146"/>
      <c r="Q14" s="146"/>
      <c r="R14" s="146"/>
      <c r="S14" s="146"/>
      <c r="T14" s="146"/>
      <c r="U14" s="146"/>
      <c r="V14" s="146"/>
      <c r="W14" s="146"/>
      <c r="X14" s="146"/>
      <c r="Y14" s="146"/>
      <c r="Z14" s="146"/>
    </row>
    <row r="15" ht="30.75" customHeight="1">
      <c r="A15" s="147"/>
      <c r="B15" s="148" t="s">
        <v>170</v>
      </c>
      <c r="C15" s="149"/>
      <c r="D15" s="149"/>
      <c r="E15" s="149"/>
      <c r="F15" s="149"/>
      <c r="G15" s="150"/>
      <c r="H15" s="151"/>
      <c r="I15" s="152" t="s">
        <v>171</v>
      </c>
      <c r="J15" s="149"/>
      <c r="K15" s="149"/>
      <c r="L15" s="149"/>
      <c r="M15" s="149"/>
      <c r="N15" s="150"/>
      <c r="O15" s="153"/>
      <c r="P15" s="153"/>
      <c r="Q15" s="153"/>
      <c r="R15" s="153"/>
      <c r="S15" s="153"/>
      <c r="T15" s="153"/>
      <c r="U15" s="153"/>
      <c r="V15" s="153"/>
      <c r="W15" s="153"/>
      <c r="X15" s="153"/>
      <c r="Y15" s="153"/>
      <c r="Z15" s="153"/>
    </row>
    <row r="16">
      <c r="A16" s="28"/>
      <c r="B16" s="154" t="s">
        <v>172</v>
      </c>
      <c r="C16" s="154" t="s">
        <v>173</v>
      </c>
      <c r="D16" s="154" t="s">
        <v>174</v>
      </c>
      <c r="E16" s="154" t="s">
        <v>175</v>
      </c>
      <c r="F16" s="155" t="s">
        <v>371</v>
      </c>
      <c r="G16" s="150"/>
      <c r="H16" s="156"/>
      <c r="I16" s="157" t="s">
        <v>172</v>
      </c>
      <c r="J16" s="157" t="s">
        <v>173</v>
      </c>
      <c r="K16" s="157" t="s">
        <v>174</v>
      </c>
      <c r="L16" s="157" t="s">
        <v>175</v>
      </c>
      <c r="M16" s="158" t="s">
        <v>371</v>
      </c>
      <c r="N16" s="150"/>
    </row>
    <row r="17">
      <c r="A17" s="28"/>
      <c r="B17" s="159" t="s">
        <v>176</v>
      </c>
      <c r="C17" s="165" t="s">
        <v>372</v>
      </c>
      <c r="D17" s="160">
        <v>101.0</v>
      </c>
      <c r="E17" s="161">
        <v>281.8</v>
      </c>
      <c r="F17" s="354"/>
      <c r="G17" s="163"/>
      <c r="H17" s="164"/>
      <c r="I17" s="159" t="s">
        <v>176</v>
      </c>
      <c r="J17" s="160" t="s">
        <v>738</v>
      </c>
      <c r="K17" s="161" t="s">
        <v>739</v>
      </c>
      <c r="L17" s="161" t="s">
        <v>740</v>
      </c>
      <c r="M17" s="448"/>
      <c r="N17" s="448"/>
    </row>
    <row r="18">
      <c r="A18" s="28"/>
      <c r="B18" s="166" t="s">
        <v>183</v>
      </c>
      <c r="C18" s="171" t="s">
        <v>741</v>
      </c>
      <c r="D18" s="167">
        <v>100.0</v>
      </c>
      <c r="E18" s="168">
        <v>62.0</v>
      </c>
      <c r="F18" s="169" t="s">
        <v>742</v>
      </c>
      <c r="G18" s="170"/>
      <c r="H18" s="164"/>
      <c r="I18" s="166" t="s">
        <v>183</v>
      </c>
      <c r="J18" s="167" t="s">
        <v>378</v>
      </c>
      <c r="K18" s="168" t="s">
        <v>743</v>
      </c>
      <c r="L18" s="168" t="s">
        <v>744</v>
      </c>
      <c r="M18" s="449" t="s">
        <v>745</v>
      </c>
      <c r="N18" s="355"/>
    </row>
    <row r="19">
      <c r="A19" s="28"/>
      <c r="B19" s="173" t="s">
        <v>190</v>
      </c>
      <c r="C19" s="171" t="s">
        <v>746</v>
      </c>
      <c r="D19" s="167">
        <v>100.0</v>
      </c>
      <c r="E19" s="168">
        <v>50.0</v>
      </c>
      <c r="F19" s="172"/>
      <c r="G19" s="170"/>
      <c r="H19" s="164"/>
      <c r="I19" s="173" t="s">
        <v>190</v>
      </c>
      <c r="J19" s="167" t="s">
        <v>382</v>
      </c>
      <c r="K19" s="168" t="s">
        <v>384</v>
      </c>
      <c r="L19" s="168">
        <v>89.0</v>
      </c>
      <c r="M19" s="449" t="s">
        <v>747</v>
      </c>
      <c r="N19" s="355"/>
    </row>
    <row r="20">
      <c r="A20" s="28"/>
      <c r="B20" s="174"/>
      <c r="C20" s="176"/>
      <c r="D20" s="175"/>
      <c r="E20" s="175"/>
      <c r="F20" s="176"/>
      <c r="G20" s="176"/>
      <c r="H20" s="164"/>
      <c r="I20" s="174"/>
      <c r="J20" s="175"/>
      <c r="K20" s="175"/>
      <c r="L20" s="356"/>
      <c r="M20" s="357"/>
      <c r="N20" s="357"/>
    </row>
    <row r="21">
      <c r="A21" s="28"/>
      <c r="B21" s="177" t="s">
        <v>196</v>
      </c>
      <c r="C21" s="171" t="s">
        <v>197</v>
      </c>
      <c r="D21" s="167">
        <v>101.0</v>
      </c>
      <c r="E21" s="168">
        <v>340.4</v>
      </c>
      <c r="F21" s="172"/>
      <c r="G21" s="170"/>
      <c r="H21" s="164"/>
      <c r="I21" s="177" t="s">
        <v>196</v>
      </c>
      <c r="J21" s="167" t="s">
        <v>395</v>
      </c>
      <c r="K21" s="168" t="s">
        <v>390</v>
      </c>
      <c r="L21" s="168" t="s">
        <v>748</v>
      </c>
      <c r="M21" s="449" t="s">
        <v>749</v>
      </c>
      <c r="N21" s="355"/>
    </row>
    <row r="22">
      <c r="A22" s="28"/>
      <c r="B22" s="178" t="s">
        <v>203</v>
      </c>
      <c r="C22" s="171" t="s">
        <v>750</v>
      </c>
      <c r="D22" s="167">
        <v>100.0</v>
      </c>
      <c r="E22" s="168">
        <v>48.0</v>
      </c>
      <c r="F22" s="172"/>
      <c r="G22" s="170"/>
      <c r="H22" s="164"/>
      <c r="I22" s="178" t="s">
        <v>203</v>
      </c>
      <c r="J22" s="167" t="s">
        <v>184</v>
      </c>
      <c r="K22" s="168" t="s">
        <v>751</v>
      </c>
      <c r="L22" s="168" t="s">
        <v>752</v>
      </c>
      <c r="M22" s="355"/>
      <c r="N22" s="355"/>
    </row>
    <row r="23">
      <c r="A23" s="28"/>
      <c r="B23" s="177" t="s">
        <v>211</v>
      </c>
      <c r="C23" s="171" t="s">
        <v>753</v>
      </c>
      <c r="D23" s="167">
        <v>100.0</v>
      </c>
      <c r="E23" s="168">
        <v>69.0</v>
      </c>
      <c r="F23" s="172"/>
      <c r="G23" s="170"/>
      <c r="H23" s="164"/>
      <c r="I23" s="177" t="s">
        <v>211</v>
      </c>
      <c r="J23" s="167" t="s">
        <v>382</v>
      </c>
      <c r="K23" s="168" t="s">
        <v>519</v>
      </c>
      <c r="L23" s="168" t="s">
        <v>520</v>
      </c>
      <c r="M23" s="449" t="s">
        <v>747</v>
      </c>
      <c r="N23" s="355"/>
    </row>
    <row r="24">
      <c r="A24" s="28"/>
      <c r="B24" s="174"/>
      <c r="C24" s="176"/>
      <c r="D24" s="175"/>
      <c r="E24" s="175"/>
      <c r="F24" s="176"/>
      <c r="G24" s="176"/>
      <c r="H24" s="164"/>
      <c r="I24" s="174"/>
      <c r="J24" s="175"/>
      <c r="K24" s="175"/>
      <c r="L24" s="356"/>
      <c r="M24" s="357"/>
      <c r="N24" s="357"/>
    </row>
    <row r="25">
      <c r="A25" s="28"/>
      <c r="B25" s="179" t="s">
        <v>216</v>
      </c>
      <c r="C25" s="171" t="s">
        <v>584</v>
      </c>
      <c r="D25" s="167">
        <v>101.0</v>
      </c>
      <c r="E25" s="168">
        <v>392.9</v>
      </c>
      <c r="F25" s="172"/>
      <c r="G25" s="170"/>
      <c r="H25" s="164"/>
      <c r="I25" s="179" t="s">
        <v>216</v>
      </c>
      <c r="J25" s="167" t="s">
        <v>373</v>
      </c>
      <c r="K25" s="168" t="s">
        <v>754</v>
      </c>
      <c r="L25" s="168" t="s">
        <v>755</v>
      </c>
      <c r="M25" s="449" t="s">
        <v>756</v>
      </c>
      <c r="N25" s="355"/>
    </row>
    <row r="26">
      <c r="A26" s="28"/>
      <c r="B26" s="180" t="s">
        <v>223</v>
      </c>
      <c r="C26" s="171" t="s">
        <v>184</v>
      </c>
      <c r="D26" s="167">
        <v>100.0</v>
      </c>
      <c r="E26" s="168">
        <v>177.0</v>
      </c>
      <c r="F26" s="169" t="s">
        <v>757</v>
      </c>
      <c r="G26" s="170"/>
      <c r="H26" s="164"/>
      <c r="I26" s="180" t="s">
        <v>223</v>
      </c>
      <c r="J26" s="167" t="s">
        <v>758</v>
      </c>
      <c r="K26" s="168" t="s">
        <v>466</v>
      </c>
      <c r="L26" s="168" t="s">
        <v>759</v>
      </c>
      <c r="M26" s="449" t="s">
        <v>760</v>
      </c>
      <c r="N26" s="355"/>
    </row>
    <row r="27">
      <c r="A27" s="28"/>
      <c r="B27" s="179" t="s">
        <v>229</v>
      </c>
      <c r="C27" s="171" t="s">
        <v>761</v>
      </c>
      <c r="D27" s="167">
        <v>100.0</v>
      </c>
      <c r="E27" s="168">
        <v>52.0</v>
      </c>
      <c r="F27" s="172"/>
      <c r="G27" s="170"/>
      <c r="H27" s="164"/>
      <c r="I27" s="179" t="s">
        <v>229</v>
      </c>
      <c r="J27" s="167" t="s">
        <v>382</v>
      </c>
      <c r="K27" s="168" t="s">
        <v>384</v>
      </c>
      <c r="L27" s="168">
        <v>101.0</v>
      </c>
      <c r="M27" s="449" t="s">
        <v>747</v>
      </c>
      <c r="N27" s="355"/>
    </row>
    <row r="28">
      <c r="A28" s="28"/>
      <c r="B28" s="174"/>
      <c r="C28" s="176"/>
      <c r="D28" s="175"/>
      <c r="E28" s="175"/>
      <c r="F28" s="176"/>
      <c r="G28" s="176"/>
      <c r="H28" s="164"/>
      <c r="I28" s="174"/>
      <c r="J28" s="175"/>
      <c r="K28" s="175"/>
      <c r="L28" s="356"/>
      <c r="M28" s="357"/>
      <c r="N28" s="357"/>
    </row>
    <row r="29">
      <c r="A29" s="28"/>
      <c r="B29" s="181" t="s">
        <v>234</v>
      </c>
      <c r="C29" s="171" t="s">
        <v>762</v>
      </c>
      <c r="D29" s="167">
        <v>140.0</v>
      </c>
      <c r="E29" s="168">
        <v>235.2</v>
      </c>
      <c r="F29" s="172"/>
      <c r="G29" s="170"/>
      <c r="H29" s="164"/>
      <c r="I29" s="181" t="s">
        <v>234</v>
      </c>
      <c r="J29" s="167" t="s">
        <v>763</v>
      </c>
      <c r="K29" s="168" t="s">
        <v>239</v>
      </c>
      <c r="L29" s="168">
        <v>228.0</v>
      </c>
      <c r="M29" s="355"/>
      <c r="N29" s="355"/>
    </row>
    <row r="30">
      <c r="A30" s="28"/>
      <c r="F30" s="28"/>
      <c r="G30" s="28"/>
    </row>
    <row r="31" ht="24.0" customHeight="1">
      <c r="A31" s="142"/>
      <c r="B31" s="182" t="s">
        <v>241</v>
      </c>
      <c r="C31" s="183"/>
      <c r="D31" s="183"/>
      <c r="E31" s="183"/>
      <c r="F31" s="183"/>
      <c r="G31" s="183"/>
      <c r="H31" s="183"/>
      <c r="I31" s="183"/>
      <c r="J31" s="183"/>
      <c r="K31" s="183"/>
      <c r="L31" s="183"/>
      <c r="M31" s="183"/>
      <c r="N31" s="184"/>
      <c r="O31" s="146"/>
      <c r="P31" s="146"/>
      <c r="Q31" s="146"/>
      <c r="R31" s="146"/>
      <c r="S31" s="146"/>
      <c r="T31" s="146"/>
      <c r="U31" s="146"/>
      <c r="V31" s="146"/>
      <c r="W31" s="146"/>
      <c r="X31" s="146"/>
      <c r="Y31" s="146"/>
      <c r="Z31" s="146"/>
    </row>
    <row r="32" ht="30.75" customHeight="1">
      <c r="A32" s="147"/>
      <c r="B32" s="237" t="s">
        <v>408</v>
      </c>
      <c r="C32" s="235"/>
      <c r="D32" s="235"/>
      <c r="E32" s="235"/>
      <c r="F32" s="235"/>
      <c r="G32" s="236"/>
      <c r="H32" s="185"/>
      <c r="I32" s="152" t="s">
        <v>242</v>
      </c>
      <c r="J32" s="149"/>
      <c r="K32" s="149"/>
      <c r="L32" s="149"/>
      <c r="M32" s="149"/>
      <c r="N32" s="150"/>
      <c r="O32" s="153"/>
      <c r="P32" s="153"/>
      <c r="Q32" s="153"/>
      <c r="R32" s="153"/>
      <c r="S32" s="153"/>
      <c r="T32" s="153"/>
      <c r="U32" s="153"/>
      <c r="V32" s="153"/>
      <c r="W32" s="153"/>
      <c r="X32" s="153"/>
      <c r="Y32" s="153"/>
      <c r="Z32" s="153"/>
    </row>
    <row r="33">
      <c r="A33" s="28"/>
      <c r="B33" s="186" t="s">
        <v>172</v>
      </c>
      <c r="C33" s="186" t="s">
        <v>175</v>
      </c>
      <c r="D33" s="186" t="s">
        <v>243</v>
      </c>
      <c r="E33" s="187" t="s">
        <v>244</v>
      </c>
      <c r="F33" s="187" t="s">
        <v>244</v>
      </c>
      <c r="G33" s="235"/>
      <c r="H33" s="190"/>
      <c r="I33" s="157" t="s">
        <v>172</v>
      </c>
      <c r="J33" s="157" t="s">
        <v>175</v>
      </c>
      <c r="K33" s="157" t="s">
        <v>243</v>
      </c>
      <c r="L33" s="157" t="s">
        <v>244</v>
      </c>
      <c r="M33" s="191" t="s">
        <v>245</v>
      </c>
      <c r="N33" s="150"/>
    </row>
    <row r="34">
      <c r="A34" s="28"/>
      <c r="B34" s="193" t="s">
        <v>246</v>
      </c>
      <c r="C34" s="194" t="s">
        <v>764</v>
      </c>
      <c r="D34" s="366" t="s">
        <v>410</v>
      </c>
      <c r="E34" s="367" t="s">
        <v>248</v>
      </c>
      <c r="F34" s="197">
        <v>0.231</v>
      </c>
      <c r="G34" s="198"/>
      <c r="H34" s="164"/>
      <c r="I34" s="199" t="s">
        <v>246</v>
      </c>
      <c r="J34" s="200">
        <v>426.6</v>
      </c>
      <c r="K34" s="402" t="s">
        <v>410</v>
      </c>
      <c r="L34" s="202" t="s">
        <v>248</v>
      </c>
      <c r="M34" s="203">
        <f t="shared" ref="M34:M37" si="1">J34/sum($J$34:$J$37)</f>
        <v>0.2541100786</v>
      </c>
      <c r="N34" s="203"/>
    </row>
    <row r="35">
      <c r="A35" s="28"/>
      <c r="B35" s="204" t="s">
        <v>249</v>
      </c>
      <c r="C35" s="205" t="s">
        <v>765</v>
      </c>
      <c r="D35" s="369" t="s">
        <v>412</v>
      </c>
      <c r="E35" s="212" t="s">
        <v>248</v>
      </c>
      <c r="F35" s="208">
        <v>0.268</v>
      </c>
      <c r="G35" s="209"/>
      <c r="H35" s="164"/>
      <c r="I35" s="204" t="s">
        <v>249</v>
      </c>
      <c r="J35" s="210">
        <v>554.6</v>
      </c>
      <c r="K35" s="369" t="s">
        <v>412</v>
      </c>
      <c r="L35" s="212" t="s">
        <v>248</v>
      </c>
      <c r="M35" s="213">
        <f t="shared" si="1"/>
        <v>0.3303550155</v>
      </c>
      <c r="N35" s="213"/>
    </row>
    <row r="36">
      <c r="A36" s="28"/>
      <c r="B36" s="214" t="s">
        <v>251</v>
      </c>
      <c r="C36" s="215" t="s">
        <v>766</v>
      </c>
      <c r="D36" s="370" t="s">
        <v>414</v>
      </c>
      <c r="E36" s="222" t="s">
        <v>248</v>
      </c>
      <c r="F36" s="218">
        <v>0.365</v>
      </c>
      <c r="G36" s="219"/>
      <c r="H36" s="164"/>
      <c r="I36" s="214" t="s">
        <v>251</v>
      </c>
      <c r="J36" s="220">
        <v>469.6</v>
      </c>
      <c r="K36" s="370" t="s">
        <v>414</v>
      </c>
      <c r="L36" s="222" t="s">
        <v>248</v>
      </c>
      <c r="M36" s="223">
        <f t="shared" si="1"/>
        <v>0.2797236121</v>
      </c>
      <c r="N36" s="223"/>
    </row>
    <row r="37">
      <c r="A37" s="28"/>
      <c r="B37" s="224" t="s">
        <v>253</v>
      </c>
      <c r="C37" s="225" t="s">
        <v>767</v>
      </c>
      <c r="D37" s="371" t="s">
        <v>416</v>
      </c>
      <c r="E37" s="232" t="s">
        <v>248</v>
      </c>
      <c r="F37" s="228">
        <v>0.138</v>
      </c>
      <c r="G37" s="229"/>
      <c r="H37" s="164"/>
      <c r="I37" s="224" t="s">
        <v>253</v>
      </c>
      <c r="J37" s="230">
        <v>228.0</v>
      </c>
      <c r="K37" s="371" t="s">
        <v>416</v>
      </c>
      <c r="L37" s="232" t="s">
        <v>248</v>
      </c>
      <c r="M37" s="233">
        <f t="shared" si="1"/>
        <v>0.1358112938</v>
      </c>
      <c r="N37" s="233"/>
    </row>
    <row r="38">
      <c r="A38" s="28"/>
      <c r="B38" s="28"/>
      <c r="C38" s="28"/>
      <c r="D38" s="28"/>
      <c r="E38" s="28"/>
      <c r="F38" s="28"/>
      <c r="G38" s="28"/>
    </row>
    <row r="39" ht="24.0" customHeight="1">
      <c r="A39" s="142"/>
      <c r="B39" s="234" t="s">
        <v>255</v>
      </c>
      <c r="C39" s="235"/>
      <c r="D39" s="235"/>
      <c r="E39" s="235"/>
      <c r="F39" s="235"/>
      <c r="G39" s="235"/>
      <c r="H39" s="235"/>
      <c r="I39" s="235"/>
      <c r="J39" s="235"/>
      <c r="K39" s="235"/>
      <c r="L39" s="235"/>
      <c r="M39" s="235"/>
      <c r="N39" s="236"/>
      <c r="O39" s="146"/>
      <c r="P39" s="146"/>
      <c r="Q39" s="146"/>
      <c r="R39" s="146"/>
      <c r="S39" s="146"/>
      <c r="T39" s="146"/>
      <c r="U39" s="146"/>
      <c r="V39" s="146"/>
      <c r="W39" s="146"/>
      <c r="X39" s="146"/>
      <c r="Y39" s="146"/>
      <c r="Z39" s="146"/>
    </row>
    <row r="40" ht="30.75" customHeight="1">
      <c r="A40" s="147"/>
      <c r="B40" s="237" t="s">
        <v>256</v>
      </c>
      <c r="C40" s="235"/>
      <c r="D40" s="235"/>
      <c r="E40" s="235"/>
      <c r="F40" s="235"/>
      <c r="G40" s="236"/>
      <c r="H40" s="185"/>
      <c r="I40" s="152" t="s">
        <v>257</v>
      </c>
      <c r="J40" s="149"/>
      <c r="K40" s="149"/>
      <c r="L40" s="149"/>
      <c r="M40" s="149"/>
      <c r="N40" s="150"/>
      <c r="O40" s="153"/>
      <c r="P40" s="153"/>
      <c r="Q40" s="153"/>
      <c r="R40" s="153"/>
      <c r="S40" s="153"/>
      <c r="T40" s="153"/>
      <c r="U40" s="153"/>
      <c r="V40" s="153"/>
      <c r="W40" s="153"/>
      <c r="X40" s="153"/>
      <c r="Y40" s="153"/>
      <c r="Z40" s="153"/>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385"/>
      <c r="B42" s="377" t="s">
        <v>262</v>
      </c>
      <c r="C42" s="243" t="s">
        <v>733</v>
      </c>
      <c r="D42" s="243">
        <v>1708.25</v>
      </c>
      <c r="E42" s="246">
        <v>1.0</v>
      </c>
      <c r="F42" s="386"/>
      <c r="G42" s="235"/>
      <c r="H42" s="387"/>
      <c r="I42" s="377" t="s">
        <v>262</v>
      </c>
      <c r="J42" s="243" t="s">
        <v>733</v>
      </c>
      <c r="K42" s="243">
        <v>1678.8</v>
      </c>
      <c r="L42" s="246">
        <v>0.984</v>
      </c>
      <c r="M42" s="386"/>
      <c r="N42" s="235"/>
      <c r="O42" s="388"/>
      <c r="P42" s="388"/>
      <c r="Q42" s="388"/>
      <c r="R42" s="388"/>
      <c r="S42" s="388"/>
      <c r="T42" s="388"/>
      <c r="U42" s="388"/>
      <c r="V42" s="388"/>
      <c r="W42" s="388"/>
      <c r="X42" s="388"/>
      <c r="Y42" s="388"/>
      <c r="Z42" s="388"/>
    </row>
    <row r="43">
      <c r="A43" s="385"/>
      <c r="B43" s="377" t="s">
        <v>158</v>
      </c>
      <c r="C43" s="243" t="s">
        <v>734</v>
      </c>
      <c r="D43" s="243">
        <v>69.56</v>
      </c>
      <c r="E43" s="246">
        <v>1.088</v>
      </c>
      <c r="F43" s="386"/>
      <c r="G43" s="235"/>
      <c r="H43" s="387"/>
      <c r="I43" s="377" t="s">
        <v>158</v>
      </c>
      <c r="J43" s="243" t="s">
        <v>734</v>
      </c>
      <c r="K43" s="243">
        <v>43.1</v>
      </c>
      <c r="L43" s="246">
        <v>0.778</v>
      </c>
      <c r="M43" s="386"/>
      <c r="N43" s="235"/>
      <c r="O43" s="388"/>
      <c r="P43" s="388"/>
      <c r="Q43" s="388"/>
      <c r="R43" s="388"/>
      <c r="S43" s="388"/>
      <c r="T43" s="388"/>
      <c r="U43" s="388"/>
      <c r="V43" s="388"/>
      <c r="W43" s="388"/>
      <c r="X43" s="388"/>
      <c r="Y43" s="388"/>
      <c r="Z43" s="388"/>
    </row>
    <row r="44">
      <c r="A44" s="385"/>
      <c r="B44" s="377" t="s">
        <v>263</v>
      </c>
      <c r="C44" s="243" t="s">
        <v>735</v>
      </c>
      <c r="D44" s="243">
        <v>56.82</v>
      </c>
      <c r="E44" s="246">
        <v>1.0</v>
      </c>
      <c r="F44" s="386"/>
      <c r="G44" s="235"/>
      <c r="H44" s="387"/>
      <c r="I44" s="377" t="s">
        <v>263</v>
      </c>
      <c r="J44" s="243" t="s">
        <v>735</v>
      </c>
      <c r="K44" s="243">
        <v>48.0</v>
      </c>
      <c r="L44" s="246">
        <v>1.0</v>
      </c>
      <c r="M44" s="386"/>
      <c r="N44" s="235"/>
      <c r="O44" s="388"/>
      <c r="P44" s="388"/>
      <c r="Q44" s="388"/>
      <c r="R44" s="388"/>
      <c r="S44" s="388"/>
      <c r="T44" s="388"/>
      <c r="U44" s="388"/>
      <c r="V44" s="388"/>
      <c r="W44" s="388"/>
      <c r="X44" s="388"/>
      <c r="Y44" s="388"/>
      <c r="Z44" s="388"/>
    </row>
    <row r="45">
      <c r="A45" s="385"/>
      <c r="B45" s="377" t="s">
        <v>264</v>
      </c>
      <c r="C45" s="243" t="s">
        <v>737</v>
      </c>
      <c r="D45" s="243">
        <v>238.21</v>
      </c>
      <c r="E45" s="246">
        <v>1.014</v>
      </c>
      <c r="F45" s="386"/>
      <c r="G45" s="235"/>
      <c r="H45" s="387"/>
      <c r="I45" s="377" t="s">
        <v>264</v>
      </c>
      <c r="J45" s="243" t="s">
        <v>737</v>
      </c>
      <c r="K45" s="243">
        <v>276.4</v>
      </c>
      <c r="L45" s="246">
        <f>K45/235</f>
        <v>1.176170213</v>
      </c>
      <c r="M45" s="386"/>
      <c r="N45" s="235"/>
      <c r="O45" s="388"/>
      <c r="P45" s="388"/>
      <c r="Q45" s="388"/>
      <c r="R45" s="388"/>
      <c r="S45" s="388"/>
      <c r="T45" s="388"/>
      <c r="U45" s="388"/>
      <c r="V45" s="388"/>
      <c r="W45" s="388"/>
      <c r="X45" s="388"/>
      <c r="Y45" s="388"/>
      <c r="Z45" s="388"/>
    </row>
    <row r="46">
      <c r="A46" s="385"/>
      <c r="B46" s="377" t="s">
        <v>265</v>
      </c>
      <c r="C46" s="243" t="s">
        <v>417</v>
      </c>
      <c r="D46" s="243">
        <v>2038.24</v>
      </c>
      <c r="E46" s="246">
        <v>1.0</v>
      </c>
      <c r="F46" s="386"/>
      <c r="G46" s="235"/>
      <c r="H46" s="387"/>
      <c r="I46" s="377" t="s">
        <v>265</v>
      </c>
      <c r="J46" s="243" t="s">
        <v>417</v>
      </c>
      <c r="K46" s="243">
        <v>1801.0</v>
      </c>
      <c r="L46" s="246">
        <v>1.0</v>
      </c>
      <c r="M46" s="386"/>
      <c r="N46" s="235"/>
      <c r="O46" s="388"/>
      <c r="P46" s="388"/>
      <c r="Q46" s="388"/>
      <c r="R46" s="388"/>
      <c r="S46" s="388"/>
      <c r="T46" s="388"/>
      <c r="U46" s="388"/>
      <c r="V46" s="388"/>
      <c r="W46" s="388"/>
      <c r="X46" s="388"/>
      <c r="Y46" s="388"/>
      <c r="Z46" s="388"/>
    </row>
    <row r="47">
      <c r="A47" s="385"/>
      <c r="B47" s="377" t="s">
        <v>267</v>
      </c>
      <c r="C47" s="243" t="s">
        <v>768</v>
      </c>
      <c r="D47" s="243">
        <v>20.68</v>
      </c>
      <c r="E47" s="246">
        <v>1.0</v>
      </c>
      <c r="F47" s="386"/>
      <c r="G47" s="235"/>
      <c r="H47" s="387"/>
      <c r="I47" s="377" t="s">
        <v>267</v>
      </c>
      <c r="J47" s="243" t="s">
        <v>768</v>
      </c>
      <c r="K47" s="243">
        <v>24.8</v>
      </c>
      <c r="L47" s="246">
        <f>K47/21.3</f>
        <v>1.164319249</v>
      </c>
      <c r="M47" s="386"/>
      <c r="N47" s="235"/>
      <c r="O47" s="388"/>
      <c r="P47" s="388"/>
      <c r="Q47" s="388"/>
      <c r="R47" s="388"/>
      <c r="S47" s="388"/>
      <c r="T47" s="388"/>
      <c r="U47" s="388"/>
      <c r="V47" s="388"/>
      <c r="W47" s="388"/>
      <c r="X47" s="388"/>
      <c r="Y47" s="388"/>
      <c r="Z47" s="388"/>
    </row>
    <row r="48">
      <c r="A48" s="385"/>
      <c r="B48" s="377" t="s">
        <v>269</v>
      </c>
      <c r="C48" s="450" t="s">
        <v>603</v>
      </c>
      <c r="D48" s="450">
        <v>1708.25</v>
      </c>
      <c r="E48" s="246">
        <v>1.0</v>
      </c>
      <c r="F48" s="451" t="s">
        <v>769</v>
      </c>
      <c r="G48" s="235"/>
      <c r="H48" s="387"/>
      <c r="I48" s="377" t="s">
        <v>269</v>
      </c>
      <c r="J48" s="243" t="s">
        <v>603</v>
      </c>
      <c r="K48" s="243">
        <v>63.6</v>
      </c>
      <c r="L48" s="246">
        <v>1.0</v>
      </c>
      <c r="M48" s="386"/>
      <c r="N48" s="235"/>
      <c r="O48" s="388"/>
      <c r="P48" s="388"/>
      <c r="Q48" s="388"/>
      <c r="R48" s="388"/>
      <c r="S48" s="388"/>
      <c r="T48" s="388"/>
      <c r="U48" s="388"/>
      <c r="V48" s="388"/>
      <c r="W48" s="388"/>
      <c r="X48" s="388"/>
      <c r="Y48" s="388"/>
      <c r="Z48" s="388"/>
    </row>
    <row r="49">
      <c r="A49" s="385"/>
      <c r="B49" s="377" t="s">
        <v>313</v>
      </c>
      <c r="C49" s="243" t="s">
        <v>419</v>
      </c>
      <c r="D49" s="243">
        <v>28.37</v>
      </c>
      <c r="E49" s="246">
        <v>1.0</v>
      </c>
      <c r="F49" s="386"/>
      <c r="G49" s="235"/>
      <c r="H49" s="389"/>
      <c r="I49" s="377" t="s">
        <v>313</v>
      </c>
      <c r="J49" s="243" t="s">
        <v>419</v>
      </c>
      <c r="K49" s="243">
        <v>18.1</v>
      </c>
      <c r="L49" s="246">
        <v>0.907</v>
      </c>
      <c r="M49" s="386"/>
      <c r="N49" s="235"/>
      <c r="O49" s="388"/>
      <c r="P49" s="388"/>
      <c r="Q49" s="388"/>
      <c r="R49" s="388"/>
      <c r="S49" s="388"/>
      <c r="T49" s="388"/>
      <c r="U49" s="388"/>
      <c r="V49" s="388"/>
      <c r="W49" s="388"/>
      <c r="X49" s="388"/>
      <c r="Y49" s="388"/>
      <c r="Z49" s="388"/>
    </row>
    <row r="50">
      <c r="A50" s="385"/>
      <c r="B50" s="452" t="s">
        <v>420</v>
      </c>
      <c r="C50" s="453" t="s">
        <v>421</v>
      </c>
      <c r="D50" s="243">
        <v>77.06</v>
      </c>
      <c r="E50" s="246">
        <v>1.0</v>
      </c>
      <c r="F50" s="386"/>
      <c r="G50" s="235"/>
      <c r="H50" s="389"/>
      <c r="I50" s="452" t="s">
        <v>420</v>
      </c>
      <c r="J50" s="453" t="s">
        <v>421</v>
      </c>
      <c r="K50" s="453">
        <v>25.6</v>
      </c>
      <c r="L50" s="454">
        <v>0.341</v>
      </c>
      <c r="M50" s="455"/>
      <c r="N50" s="235"/>
      <c r="O50" s="388"/>
      <c r="P50" s="388"/>
      <c r="Q50" s="388"/>
      <c r="R50" s="388"/>
      <c r="S50" s="388"/>
      <c r="T50" s="388"/>
      <c r="U50" s="388"/>
      <c r="V50" s="388"/>
      <c r="W50" s="388"/>
      <c r="X50" s="388"/>
      <c r="Y50" s="388"/>
      <c r="Z50" s="388"/>
    </row>
    <row r="51">
      <c r="A51" s="385"/>
      <c r="B51" s="452" t="s">
        <v>422</v>
      </c>
      <c r="C51" s="453" t="s">
        <v>423</v>
      </c>
      <c r="D51" s="243">
        <v>0.74</v>
      </c>
      <c r="E51" s="246">
        <v>1.0</v>
      </c>
      <c r="F51" s="386"/>
      <c r="G51" s="235"/>
      <c r="H51" s="389"/>
      <c r="I51" s="452" t="s">
        <v>422</v>
      </c>
      <c r="J51" s="453" t="s">
        <v>423</v>
      </c>
      <c r="K51" s="453">
        <v>0.074</v>
      </c>
      <c r="L51" s="454">
        <v>0.106</v>
      </c>
      <c r="M51" s="455"/>
      <c r="N51" s="235"/>
      <c r="O51" s="388"/>
      <c r="P51" s="388"/>
      <c r="Q51" s="388"/>
      <c r="R51" s="388"/>
      <c r="S51" s="388"/>
      <c r="T51" s="388"/>
      <c r="U51" s="388"/>
      <c r="V51" s="388"/>
      <c r="W51" s="388"/>
      <c r="X51" s="388"/>
      <c r="Y51" s="388"/>
      <c r="Z51" s="388"/>
    </row>
    <row r="52">
      <c r="A52" s="385"/>
      <c r="B52" s="452" t="s">
        <v>299</v>
      </c>
      <c r="C52" s="453" t="s">
        <v>426</v>
      </c>
      <c r="D52" s="243">
        <v>16.1</v>
      </c>
      <c r="E52" s="246">
        <v>1.0</v>
      </c>
      <c r="F52" s="386"/>
      <c r="G52" s="235"/>
      <c r="H52" s="389"/>
      <c r="I52" s="452" t="s">
        <v>299</v>
      </c>
      <c r="J52" s="453" t="s">
        <v>426</v>
      </c>
      <c r="K52" s="453">
        <v>13.3</v>
      </c>
      <c r="L52" s="454">
        <v>1.0</v>
      </c>
      <c r="M52" s="455"/>
      <c r="N52" s="235"/>
      <c r="O52" s="388"/>
      <c r="P52" s="388"/>
      <c r="Q52" s="388"/>
      <c r="R52" s="388"/>
      <c r="S52" s="388"/>
      <c r="T52" s="388"/>
      <c r="U52" s="388"/>
      <c r="V52" s="388"/>
      <c r="W52" s="388"/>
      <c r="X52" s="388"/>
      <c r="Y52" s="388"/>
      <c r="Z52" s="388"/>
    </row>
    <row r="53">
      <c r="A53" s="385"/>
      <c r="B53" s="452" t="s">
        <v>427</v>
      </c>
      <c r="C53" s="453" t="s">
        <v>428</v>
      </c>
      <c r="D53" s="243">
        <v>10.3</v>
      </c>
      <c r="E53" s="246">
        <v>1.0</v>
      </c>
      <c r="F53" s="386"/>
      <c r="G53" s="235"/>
      <c r="H53" s="389"/>
      <c r="I53" s="452" t="s">
        <v>427</v>
      </c>
      <c r="J53" s="453" t="s">
        <v>428</v>
      </c>
      <c r="K53" s="453">
        <v>5.7</v>
      </c>
      <c r="L53" s="454">
        <v>0.713</v>
      </c>
      <c r="M53" s="455"/>
      <c r="N53" s="235"/>
      <c r="O53" s="388"/>
      <c r="P53" s="388"/>
      <c r="Q53" s="388"/>
      <c r="R53" s="388"/>
      <c r="S53" s="388"/>
      <c r="T53" s="388"/>
      <c r="U53" s="388"/>
      <c r="V53" s="388"/>
      <c r="W53" s="388"/>
      <c r="X53" s="388"/>
      <c r="Y53" s="388"/>
      <c r="Z53" s="388"/>
    </row>
    <row r="54">
      <c r="A54" s="385"/>
      <c r="B54" s="452" t="s">
        <v>297</v>
      </c>
      <c r="C54" s="453" t="s">
        <v>429</v>
      </c>
      <c r="D54" s="243">
        <v>979.92</v>
      </c>
      <c r="E54" s="246">
        <v>1.0</v>
      </c>
      <c r="F54" s="386"/>
      <c r="G54" s="235"/>
      <c r="H54" s="389"/>
      <c r="I54" s="452" t="s">
        <v>297</v>
      </c>
      <c r="J54" s="453" t="s">
        <v>429</v>
      </c>
      <c r="K54" s="453">
        <v>434.2</v>
      </c>
      <c r="L54" s="454">
        <v>0.457</v>
      </c>
      <c r="M54" s="455"/>
      <c r="N54" s="235"/>
      <c r="O54" s="388"/>
      <c r="P54" s="388"/>
      <c r="Q54" s="388"/>
      <c r="R54" s="388"/>
      <c r="S54" s="388"/>
      <c r="T54" s="388"/>
      <c r="U54" s="388"/>
      <c r="V54" s="388"/>
      <c r="W54" s="388"/>
      <c r="X54" s="388"/>
      <c r="Y54" s="388"/>
      <c r="Z54" s="388"/>
    </row>
    <row r="55">
      <c r="A55" s="385"/>
      <c r="B55" s="452" t="s">
        <v>304</v>
      </c>
      <c r="C55" s="453" t="s">
        <v>430</v>
      </c>
      <c r="D55" s="243">
        <v>3205.93</v>
      </c>
      <c r="E55" s="246">
        <v>1.0</v>
      </c>
      <c r="F55" s="386"/>
      <c r="G55" s="235"/>
      <c r="H55" s="389"/>
      <c r="I55" s="452" t="s">
        <v>304</v>
      </c>
      <c r="J55" s="453" t="s">
        <v>430</v>
      </c>
      <c r="K55" s="453">
        <v>1900.9</v>
      </c>
      <c r="L55" s="454">
        <v>0.731</v>
      </c>
      <c r="M55" s="455"/>
      <c r="N55" s="235"/>
      <c r="O55" s="388"/>
      <c r="P55" s="388"/>
      <c r="Q55" s="388"/>
      <c r="R55" s="388"/>
      <c r="S55" s="388"/>
      <c r="T55" s="388"/>
      <c r="U55" s="388"/>
      <c r="V55" s="388"/>
      <c r="W55" s="388"/>
      <c r="X55" s="388"/>
      <c r="Y55" s="388"/>
      <c r="Z55" s="388"/>
    </row>
    <row r="56">
      <c r="A56" s="385"/>
      <c r="B56" s="452" t="s">
        <v>271</v>
      </c>
      <c r="C56" s="453" t="s">
        <v>717</v>
      </c>
      <c r="D56" s="243">
        <v>12.71</v>
      </c>
      <c r="E56" s="246">
        <v>1.0</v>
      </c>
      <c r="F56" s="386"/>
      <c r="G56" s="235"/>
      <c r="H56" s="389"/>
      <c r="I56" s="452" t="s">
        <v>271</v>
      </c>
      <c r="J56" s="453" t="s">
        <v>717</v>
      </c>
      <c r="K56" s="453">
        <v>8.0</v>
      </c>
      <c r="L56" s="454">
        <v>1.0</v>
      </c>
      <c r="M56" s="455"/>
      <c r="N56" s="235"/>
      <c r="O56" s="388"/>
      <c r="P56" s="388"/>
      <c r="Q56" s="388"/>
      <c r="R56" s="388"/>
      <c r="S56" s="388"/>
      <c r="T56" s="388"/>
      <c r="U56" s="388"/>
      <c r="V56" s="388"/>
      <c r="W56" s="388"/>
      <c r="X56" s="388"/>
      <c r="Y56" s="388"/>
      <c r="Z56" s="388"/>
    </row>
    <row r="57">
      <c r="A57" s="385"/>
      <c r="B57" s="452" t="s">
        <v>559</v>
      </c>
      <c r="C57" s="453" t="s">
        <v>770</v>
      </c>
      <c r="D57" s="243">
        <v>0.21</v>
      </c>
      <c r="E57" s="246">
        <v>1.0</v>
      </c>
      <c r="F57" s="386"/>
      <c r="G57" s="235"/>
      <c r="H57" s="389"/>
      <c r="I57" s="452" t="s">
        <v>559</v>
      </c>
      <c r="J57" s="453" t="s">
        <v>770</v>
      </c>
      <c r="K57" s="453">
        <v>0.0871</v>
      </c>
      <c r="L57" s="454">
        <v>1.0</v>
      </c>
      <c r="M57" s="455"/>
      <c r="N57" s="235"/>
      <c r="O57" s="388"/>
      <c r="P57" s="388"/>
      <c r="Q57" s="388"/>
      <c r="R57" s="388"/>
      <c r="S57" s="388"/>
      <c r="T57" s="388"/>
      <c r="U57" s="388"/>
      <c r="V57" s="388"/>
      <c r="W57" s="388"/>
      <c r="X57" s="388"/>
      <c r="Y57" s="388"/>
      <c r="Z57" s="388"/>
    </row>
    <row r="58">
      <c r="A58" s="385"/>
      <c r="B58" s="377" t="s">
        <v>292</v>
      </c>
      <c r="C58" s="243">
        <v>1.3</v>
      </c>
      <c r="D58" s="243">
        <v>1.67</v>
      </c>
      <c r="E58" s="246">
        <v>1.0</v>
      </c>
      <c r="F58" s="386"/>
      <c r="G58" s="235"/>
      <c r="H58" s="387"/>
      <c r="I58" s="377" t="s">
        <v>292</v>
      </c>
      <c r="J58" s="243">
        <v>1.3</v>
      </c>
      <c r="K58" s="243">
        <v>1.5</v>
      </c>
      <c r="L58" s="246">
        <v>1.0</v>
      </c>
      <c r="M58" s="386"/>
      <c r="N58" s="235"/>
      <c r="O58" s="388"/>
      <c r="P58" s="388"/>
      <c r="Q58" s="388"/>
      <c r="R58" s="388"/>
      <c r="S58" s="388"/>
      <c r="T58" s="388"/>
      <c r="U58" s="388"/>
      <c r="V58" s="388"/>
      <c r="W58" s="388"/>
      <c r="X58" s="388"/>
      <c r="Y58" s="388"/>
      <c r="Z58" s="388"/>
    </row>
    <row r="59">
      <c r="A59" s="385"/>
      <c r="B59" s="377" t="s">
        <v>296</v>
      </c>
      <c r="C59" s="243">
        <v>0.0024</v>
      </c>
      <c r="D59" s="243">
        <v>0.0</v>
      </c>
      <c r="E59" s="246">
        <v>0.0</v>
      </c>
      <c r="F59" s="386"/>
      <c r="G59" s="235"/>
      <c r="H59" s="387"/>
      <c r="I59" s="377" t="s">
        <v>296</v>
      </c>
      <c r="J59" s="243">
        <v>0.0024</v>
      </c>
      <c r="K59" s="243">
        <v>0.0028</v>
      </c>
      <c r="L59" s="246">
        <v>1.0</v>
      </c>
      <c r="M59" s="386"/>
      <c r="N59" s="235"/>
      <c r="O59" s="388"/>
      <c r="P59" s="388"/>
      <c r="Q59" s="388"/>
      <c r="R59" s="388"/>
      <c r="S59" s="388"/>
      <c r="T59" s="388"/>
      <c r="U59" s="388"/>
      <c r="V59" s="388"/>
      <c r="W59" s="388"/>
      <c r="X59" s="388"/>
      <c r="Y59" s="388"/>
      <c r="Z59" s="388"/>
    </row>
    <row r="60">
      <c r="A60" s="28"/>
      <c r="B60" s="28"/>
      <c r="C60" s="28"/>
      <c r="D60" s="28"/>
      <c r="E60" s="28"/>
      <c r="F60" s="28"/>
      <c r="G60" s="28"/>
    </row>
    <row r="61" ht="24.0" customHeight="1">
      <c r="A61" s="142"/>
      <c r="B61" s="234" t="s">
        <v>273</v>
      </c>
      <c r="C61" s="235"/>
      <c r="D61" s="235"/>
      <c r="E61" s="235"/>
      <c r="F61" s="235"/>
      <c r="G61" s="235"/>
      <c r="H61" s="235"/>
      <c r="I61" s="235"/>
      <c r="J61" s="235"/>
      <c r="K61" s="235"/>
      <c r="L61" s="235"/>
      <c r="M61" s="235"/>
      <c r="N61" s="236"/>
      <c r="O61" s="146"/>
      <c r="P61" s="146"/>
      <c r="Q61" s="146"/>
      <c r="R61" s="146"/>
      <c r="S61" s="146"/>
      <c r="T61" s="146"/>
      <c r="U61" s="146"/>
      <c r="V61" s="146"/>
      <c r="W61" s="146"/>
      <c r="X61" s="146"/>
      <c r="Y61" s="146"/>
      <c r="Z61" s="146"/>
    </row>
    <row r="62" ht="30.75" customHeight="1">
      <c r="A62" s="147"/>
      <c r="B62" s="237" t="s">
        <v>274</v>
      </c>
      <c r="C62" s="235"/>
      <c r="D62" s="235"/>
      <c r="E62" s="235"/>
      <c r="F62" s="235"/>
      <c r="G62" s="236"/>
      <c r="H62" s="185"/>
      <c r="I62" s="152" t="s">
        <v>275</v>
      </c>
      <c r="J62" s="149"/>
      <c r="K62" s="149"/>
      <c r="L62" s="149"/>
      <c r="M62" s="149"/>
      <c r="N62" s="150"/>
      <c r="O62" s="153"/>
      <c r="P62" s="153"/>
      <c r="Q62" s="153"/>
      <c r="R62" s="153"/>
      <c r="S62" s="153"/>
      <c r="T62" s="153"/>
      <c r="U62" s="153"/>
      <c r="V62" s="153"/>
      <c r="W62" s="153"/>
      <c r="X62" s="153"/>
      <c r="Y62" s="153"/>
      <c r="Z62" s="153"/>
    </row>
    <row r="63">
      <c r="A63" s="28"/>
      <c r="B63" s="238" t="s">
        <v>258</v>
      </c>
      <c r="C63" s="238" t="s">
        <v>276</v>
      </c>
      <c r="D63" s="238" t="s">
        <v>260</v>
      </c>
      <c r="E63" s="376" t="s">
        <v>261</v>
      </c>
      <c r="F63" s="251" t="s">
        <v>244</v>
      </c>
      <c r="G63" s="252"/>
      <c r="H63" s="190"/>
      <c r="I63" s="239" t="s">
        <v>258</v>
      </c>
      <c r="J63" s="239" t="s">
        <v>276</v>
      </c>
      <c r="K63" s="239" t="s">
        <v>260</v>
      </c>
      <c r="L63" s="240" t="s">
        <v>261</v>
      </c>
      <c r="M63" s="241"/>
      <c r="N63" s="150"/>
    </row>
    <row r="64">
      <c r="A64" s="385"/>
      <c r="B64" s="377" t="s">
        <v>282</v>
      </c>
      <c r="C64" s="243" t="s">
        <v>283</v>
      </c>
      <c r="D64" s="243">
        <v>0.0</v>
      </c>
      <c r="E64" s="246">
        <v>0.0</v>
      </c>
      <c r="F64" s="391"/>
      <c r="G64" s="256"/>
      <c r="H64" s="387"/>
      <c r="I64" s="377" t="s">
        <v>282</v>
      </c>
      <c r="J64" s="243" t="s">
        <v>283</v>
      </c>
      <c r="K64" s="243">
        <v>0.0</v>
      </c>
      <c r="L64" s="246">
        <v>0.0</v>
      </c>
      <c r="M64" s="391"/>
      <c r="N64" s="256"/>
      <c r="O64" s="388"/>
      <c r="P64" s="388"/>
      <c r="Q64" s="388"/>
      <c r="R64" s="388"/>
      <c r="S64" s="388"/>
      <c r="T64" s="388"/>
      <c r="U64" s="388"/>
      <c r="V64" s="388"/>
      <c r="W64" s="388"/>
      <c r="X64" s="388"/>
      <c r="Y64" s="388"/>
      <c r="Z64" s="388"/>
    </row>
    <row r="65">
      <c r="A65" s="385"/>
      <c r="B65" s="377" t="s">
        <v>284</v>
      </c>
      <c r="C65" s="243" t="s">
        <v>285</v>
      </c>
      <c r="D65" s="243">
        <v>4.48</v>
      </c>
      <c r="E65" s="246">
        <v>0.2986667</v>
      </c>
      <c r="F65" s="386"/>
      <c r="G65" s="235"/>
      <c r="H65" s="387"/>
      <c r="I65" s="377" t="s">
        <v>284</v>
      </c>
      <c r="J65" s="243" t="s">
        <v>285</v>
      </c>
      <c r="K65" s="243">
        <v>4.2</v>
      </c>
      <c r="L65" s="246">
        <v>0.28</v>
      </c>
      <c r="M65" s="386"/>
      <c r="N65" s="235"/>
      <c r="O65" s="388"/>
      <c r="P65" s="388"/>
      <c r="Q65" s="388"/>
      <c r="R65" s="388"/>
      <c r="S65" s="388"/>
      <c r="T65" s="388"/>
      <c r="U65" s="388"/>
      <c r="V65" s="388"/>
      <c r="W65" s="388"/>
      <c r="X65" s="388"/>
      <c r="Y65" s="388"/>
      <c r="Z65" s="388"/>
    </row>
    <row r="66">
      <c r="A66" s="385"/>
      <c r="B66" s="377" t="s">
        <v>286</v>
      </c>
      <c r="C66" s="243">
        <v>0.09</v>
      </c>
      <c r="D66" s="243">
        <v>0.05</v>
      </c>
      <c r="E66" s="246">
        <v>0.5555556</v>
      </c>
      <c r="F66" s="386"/>
      <c r="G66" s="235"/>
      <c r="H66" s="387"/>
      <c r="I66" s="377" t="s">
        <v>286</v>
      </c>
      <c r="J66" s="243">
        <v>0.09</v>
      </c>
      <c r="K66" s="243">
        <v>0.029</v>
      </c>
      <c r="L66" s="246">
        <v>0.322</v>
      </c>
      <c r="M66" s="386"/>
      <c r="N66" s="235"/>
      <c r="O66" s="388"/>
      <c r="P66" s="388"/>
      <c r="Q66" s="388"/>
      <c r="R66" s="388"/>
      <c r="S66" s="388"/>
      <c r="T66" s="388"/>
      <c r="U66" s="388"/>
      <c r="V66" s="388"/>
      <c r="W66" s="388"/>
      <c r="X66" s="388"/>
      <c r="Y66" s="388"/>
      <c r="Z66" s="388"/>
    </row>
    <row r="67">
      <c r="A67" s="385"/>
      <c r="B67" s="377" t="s">
        <v>287</v>
      </c>
      <c r="C67" s="243">
        <v>1.1</v>
      </c>
      <c r="D67" s="243">
        <v>2.55</v>
      </c>
      <c r="E67" s="246">
        <v>1.0</v>
      </c>
      <c r="F67" s="386"/>
      <c r="G67" s="235"/>
      <c r="H67" s="387"/>
      <c r="I67" s="377" t="s">
        <v>287</v>
      </c>
      <c r="J67" s="243">
        <v>1.1</v>
      </c>
      <c r="K67" s="243">
        <v>1.0</v>
      </c>
      <c r="L67" s="246">
        <v>0.903</v>
      </c>
      <c r="M67" s="386"/>
      <c r="N67" s="235"/>
      <c r="O67" s="388"/>
      <c r="P67" s="388"/>
      <c r="Q67" s="388"/>
      <c r="R67" s="388"/>
      <c r="S67" s="388"/>
      <c r="T67" s="388"/>
      <c r="U67" s="388"/>
      <c r="V67" s="388"/>
      <c r="W67" s="388"/>
      <c r="X67" s="388"/>
      <c r="Y67" s="388"/>
      <c r="Z67" s="388"/>
    </row>
    <row r="68">
      <c r="A68" s="385"/>
      <c r="B68" s="377" t="s">
        <v>288</v>
      </c>
      <c r="C68" s="243">
        <v>1.1</v>
      </c>
      <c r="D68" s="243">
        <v>1.7</v>
      </c>
      <c r="E68" s="246">
        <v>1.0</v>
      </c>
      <c r="F68" s="386"/>
      <c r="G68" s="235"/>
      <c r="H68" s="387"/>
      <c r="I68" s="377" t="s">
        <v>288</v>
      </c>
      <c r="J68" s="243">
        <v>1.1</v>
      </c>
      <c r="K68" s="243">
        <v>0.8</v>
      </c>
      <c r="L68" s="246">
        <v>0.709</v>
      </c>
      <c r="M68" s="386"/>
      <c r="N68" s="235"/>
      <c r="O68" s="388"/>
      <c r="P68" s="388"/>
      <c r="Q68" s="388"/>
      <c r="R68" s="388"/>
      <c r="S68" s="388"/>
      <c r="T68" s="388"/>
      <c r="U68" s="388"/>
      <c r="V68" s="388"/>
      <c r="W68" s="388"/>
      <c r="X68" s="388"/>
      <c r="Y68" s="388"/>
      <c r="Z68" s="388"/>
    </row>
    <row r="69">
      <c r="A69" s="385"/>
      <c r="B69" s="377" t="s">
        <v>289</v>
      </c>
      <c r="C69" s="243" t="s">
        <v>718</v>
      </c>
      <c r="D69" s="243">
        <v>19.15</v>
      </c>
      <c r="E69" s="246">
        <v>1.0</v>
      </c>
      <c r="F69" s="386"/>
      <c r="G69" s="235"/>
      <c r="H69" s="387"/>
      <c r="I69" s="377" t="s">
        <v>289</v>
      </c>
      <c r="J69" s="243" t="s">
        <v>718</v>
      </c>
      <c r="K69" s="243">
        <v>14.3</v>
      </c>
      <c r="L69" s="246">
        <v>1.0</v>
      </c>
      <c r="M69" s="386"/>
      <c r="N69" s="235"/>
      <c r="O69" s="388"/>
      <c r="P69" s="388"/>
      <c r="Q69" s="388"/>
      <c r="R69" s="388"/>
      <c r="S69" s="388"/>
      <c r="T69" s="388"/>
      <c r="U69" s="388"/>
      <c r="V69" s="388"/>
      <c r="W69" s="388"/>
      <c r="X69" s="388"/>
      <c r="Y69" s="388"/>
      <c r="Z69" s="388"/>
    </row>
    <row r="70">
      <c r="A70" s="385"/>
      <c r="B70" s="377" t="s">
        <v>291</v>
      </c>
      <c r="C70" s="243">
        <v>5.0</v>
      </c>
      <c r="D70" s="243">
        <v>5.56</v>
      </c>
      <c r="E70" s="246">
        <v>1.0</v>
      </c>
      <c r="F70" s="386"/>
      <c r="G70" s="235"/>
      <c r="H70" s="387"/>
      <c r="I70" s="377" t="s">
        <v>291</v>
      </c>
      <c r="J70" s="243">
        <v>5.0</v>
      </c>
      <c r="K70" s="243">
        <v>3.5</v>
      </c>
      <c r="L70" s="246">
        <v>0.692</v>
      </c>
      <c r="M70" s="386"/>
      <c r="N70" s="235"/>
      <c r="O70" s="388"/>
      <c r="P70" s="388"/>
      <c r="Q70" s="388"/>
      <c r="R70" s="388"/>
      <c r="S70" s="388"/>
      <c r="T70" s="388"/>
      <c r="U70" s="388"/>
      <c r="V70" s="388"/>
      <c r="W70" s="388"/>
      <c r="X70" s="388"/>
      <c r="Y70" s="388"/>
      <c r="Z70" s="388"/>
    </row>
    <row r="71">
      <c r="A71" s="385"/>
      <c r="B71" s="377" t="s">
        <v>294</v>
      </c>
      <c r="C71" s="243" t="s">
        <v>719</v>
      </c>
      <c r="D71" s="243">
        <v>0.61</v>
      </c>
      <c r="E71" s="246">
        <v>1.0</v>
      </c>
      <c r="F71" s="386"/>
      <c r="G71" s="235"/>
      <c r="H71" s="387"/>
      <c r="I71" s="377" t="s">
        <v>294</v>
      </c>
      <c r="J71" s="243" t="s">
        <v>719</v>
      </c>
      <c r="K71" s="243">
        <v>0.2</v>
      </c>
      <c r="L71" s="246">
        <v>1.0</v>
      </c>
      <c r="M71" s="386"/>
      <c r="N71" s="235"/>
      <c r="O71" s="388"/>
      <c r="P71" s="388"/>
      <c r="Q71" s="388"/>
      <c r="R71" s="388"/>
      <c r="S71" s="388"/>
      <c r="T71" s="388"/>
      <c r="U71" s="388"/>
      <c r="V71" s="388"/>
      <c r="W71" s="388"/>
      <c r="X71" s="388"/>
      <c r="Y71" s="388"/>
      <c r="Z71" s="388"/>
    </row>
    <row r="72">
      <c r="A72" s="385"/>
      <c r="B72" s="377" t="s">
        <v>301</v>
      </c>
      <c r="C72" s="243">
        <v>320.0</v>
      </c>
      <c r="D72" s="243">
        <v>6.8</v>
      </c>
      <c r="E72" s="246">
        <v>1.0</v>
      </c>
      <c r="F72" s="386"/>
      <c r="G72" s="235"/>
      <c r="H72" s="387"/>
      <c r="I72" s="377" t="s">
        <v>301</v>
      </c>
      <c r="J72" s="243">
        <v>320.0</v>
      </c>
      <c r="K72" s="243">
        <v>232.0</v>
      </c>
      <c r="L72" s="246">
        <v>0.725</v>
      </c>
      <c r="M72" s="386"/>
      <c r="N72" s="235"/>
      <c r="O72" s="388"/>
      <c r="P72" s="388"/>
      <c r="Q72" s="388"/>
      <c r="R72" s="388"/>
      <c r="S72" s="388"/>
      <c r="T72" s="388"/>
      <c r="U72" s="388"/>
      <c r="V72" s="388"/>
      <c r="W72" s="388"/>
      <c r="X72" s="388"/>
      <c r="Y72" s="388"/>
      <c r="Z72" s="388"/>
    </row>
    <row r="73">
      <c r="A73" s="385"/>
      <c r="B73" s="377" t="s">
        <v>302</v>
      </c>
      <c r="C73" s="243" t="s">
        <v>303</v>
      </c>
      <c r="D73" s="243">
        <v>1588.09</v>
      </c>
      <c r="E73" s="246">
        <v>1.0</v>
      </c>
      <c r="F73" s="386"/>
      <c r="G73" s="235"/>
      <c r="H73" s="387"/>
      <c r="I73" s="377" t="s">
        <v>302</v>
      </c>
      <c r="J73" s="243" t="s">
        <v>303</v>
      </c>
      <c r="K73" s="243">
        <v>949.5</v>
      </c>
      <c r="L73" s="246">
        <v>1.0</v>
      </c>
      <c r="M73" s="386"/>
      <c r="N73" s="235"/>
      <c r="O73" s="388"/>
      <c r="P73" s="388"/>
      <c r="Q73" s="388"/>
      <c r="R73" s="388"/>
      <c r="S73" s="388"/>
      <c r="T73" s="388"/>
      <c r="U73" s="388"/>
      <c r="V73" s="388"/>
      <c r="W73" s="388"/>
      <c r="X73" s="388"/>
      <c r="Y73" s="388"/>
      <c r="Z73" s="388"/>
    </row>
    <row r="74">
      <c r="A74" s="385"/>
      <c r="B74" s="377" t="s">
        <v>307</v>
      </c>
      <c r="C74" s="243" t="s">
        <v>308</v>
      </c>
      <c r="D74" s="243">
        <v>309.0</v>
      </c>
      <c r="E74" s="246">
        <v>1.0</v>
      </c>
      <c r="F74" s="386"/>
      <c r="G74" s="235"/>
      <c r="H74" s="387"/>
      <c r="I74" s="377" t="s">
        <v>307</v>
      </c>
      <c r="J74" s="243" t="s">
        <v>308</v>
      </c>
      <c r="K74" s="243">
        <v>1.2</v>
      </c>
      <c r="L74" s="246">
        <v>1.0</v>
      </c>
      <c r="M74" s="386"/>
      <c r="N74" s="235"/>
      <c r="O74" s="388"/>
      <c r="P74" s="388"/>
      <c r="Q74" s="388"/>
      <c r="R74" s="388"/>
      <c r="S74" s="388"/>
      <c r="T74" s="388"/>
      <c r="U74" s="388"/>
      <c r="V74" s="388"/>
      <c r="W74" s="388"/>
      <c r="X74" s="388"/>
      <c r="Y74" s="388"/>
      <c r="Z74" s="388"/>
    </row>
    <row r="75">
      <c r="A75" s="385"/>
      <c r="B75" s="377" t="s">
        <v>309</v>
      </c>
      <c r="C75" s="243" t="s">
        <v>720</v>
      </c>
      <c r="D75" s="243">
        <v>6.8</v>
      </c>
      <c r="E75" s="246">
        <v>1.0</v>
      </c>
      <c r="F75" s="386"/>
      <c r="G75" s="235"/>
      <c r="H75" s="387"/>
      <c r="I75" s="377" t="s">
        <v>309</v>
      </c>
      <c r="J75" s="243" t="s">
        <v>720</v>
      </c>
      <c r="K75" s="243">
        <v>3.4</v>
      </c>
      <c r="L75" s="246">
        <v>1.0</v>
      </c>
      <c r="M75" s="386"/>
      <c r="N75" s="235"/>
      <c r="O75" s="388"/>
      <c r="P75" s="388"/>
      <c r="Q75" s="388"/>
      <c r="R75" s="388"/>
      <c r="S75" s="388"/>
      <c r="T75" s="388"/>
      <c r="U75" s="388"/>
      <c r="V75" s="388"/>
      <c r="W75" s="388"/>
      <c r="X75" s="388"/>
      <c r="Y75" s="388"/>
      <c r="Z75" s="388"/>
    </row>
    <row r="76">
      <c r="A76" s="385"/>
      <c r="B76" s="377" t="s">
        <v>311</v>
      </c>
      <c r="C76" s="243" t="s">
        <v>312</v>
      </c>
      <c r="D76" s="243">
        <v>0.07</v>
      </c>
      <c r="E76" s="246">
        <v>1.0</v>
      </c>
      <c r="F76" s="386"/>
      <c r="G76" s="235"/>
      <c r="H76" s="387"/>
      <c r="I76" s="377" t="s">
        <v>311</v>
      </c>
      <c r="J76" s="243" t="s">
        <v>312</v>
      </c>
      <c r="K76" s="243">
        <v>0.0346</v>
      </c>
      <c r="L76" s="246">
        <v>0.629</v>
      </c>
      <c r="M76" s="386"/>
      <c r="N76" s="235"/>
      <c r="O76" s="388"/>
      <c r="P76" s="388"/>
      <c r="Q76" s="388"/>
      <c r="R76" s="388"/>
      <c r="S76" s="388"/>
      <c r="T76" s="388"/>
      <c r="U76" s="388"/>
      <c r="V76" s="388"/>
      <c r="W76" s="388"/>
      <c r="X76" s="388"/>
      <c r="Y76" s="388"/>
      <c r="Z76" s="388"/>
    </row>
    <row r="77">
      <c r="A77" s="385"/>
      <c r="B77" s="377" t="s">
        <v>167</v>
      </c>
      <c r="C77" s="243">
        <v>2700.0</v>
      </c>
      <c r="D77" s="243">
        <v>664.04</v>
      </c>
      <c r="E77" s="246">
        <v>0.2459407</v>
      </c>
      <c r="F77" s="386"/>
      <c r="G77" s="235"/>
      <c r="H77" s="387"/>
      <c r="I77" s="377" t="s">
        <v>167</v>
      </c>
      <c r="J77" s="243">
        <v>2700.0</v>
      </c>
      <c r="K77" s="243">
        <v>699.0</v>
      </c>
      <c r="L77" s="246">
        <v>0.259</v>
      </c>
      <c r="M77" s="386"/>
      <c r="N77" s="235"/>
      <c r="O77" s="388"/>
      <c r="P77" s="388"/>
      <c r="Q77" s="388"/>
      <c r="R77" s="388"/>
      <c r="S77" s="388"/>
      <c r="T77" s="388"/>
      <c r="U77" s="388"/>
      <c r="V77" s="388"/>
      <c r="W77" s="388"/>
      <c r="X77" s="388"/>
      <c r="Y77" s="388"/>
      <c r="Z77" s="388"/>
    </row>
    <row r="78">
      <c r="A78" s="28"/>
    </row>
    <row r="79" ht="24.0" customHeight="1">
      <c r="A79" s="142"/>
      <c r="B79" s="261" t="s">
        <v>314</v>
      </c>
      <c r="C79" s="262"/>
      <c r="D79" s="262"/>
      <c r="E79" s="262"/>
      <c r="F79" s="262"/>
      <c r="G79" s="262"/>
      <c r="H79" s="262"/>
      <c r="I79" s="262"/>
      <c r="J79" s="262"/>
      <c r="K79" s="262"/>
      <c r="L79" s="262"/>
      <c r="M79" s="262"/>
      <c r="N79" s="263"/>
      <c r="O79" s="146"/>
      <c r="P79" s="146"/>
      <c r="Q79" s="146"/>
      <c r="R79" s="146"/>
      <c r="S79" s="146"/>
      <c r="T79" s="146"/>
      <c r="U79" s="146"/>
      <c r="V79" s="146"/>
      <c r="W79" s="146"/>
      <c r="X79" s="146"/>
      <c r="Y79" s="146"/>
      <c r="Z79" s="146"/>
    </row>
    <row r="80">
      <c r="A80" s="28"/>
      <c r="B80" s="264" t="s">
        <v>315</v>
      </c>
      <c r="C80" s="262"/>
      <c r="D80" s="262"/>
      <c r="E80" s="262"/>
      <c r="F80" s="262"/>
      <c r="G80" s="262"/>
      <c r="H80" s="262"/>
      <c r="I80" s="262"/>
      <c r="J80" s="262"/>
      <c r="K80" s="262"/>
      <c r="L80" s="262"/>
      <c r="M80" s="262"/>
      <c r="N80" s="263"/>
    </row>
    <row r="81">
      <c r="A81" s="28"/>
      <c r="B81" s="265" t="s">
        <v>316</v>
      </c>
      <c r="C81" s="266" t="s">
        <v>317</v>
      </c>
      <c r="D81" s="266" t="s">
        <v>318</v>
      </c>
      <c r="E81" s="267" t="s">
        <v>319</v>
      </c>
      <c r="F81" s="268" t="s">
        <v>320</v>
      </c>
      <c r="G81" s="269" t="s">
        <v>321</v>
      </c>
      <c r="H81" s="164"/>
      <c r="I81" s="270" t="s">
        <v>316</v>
      </c>
      <c r="J81" s="271" t="s">
        <v>317</v>
      </c>
      <c r="K81" s="271" t="s">
        <v>318</v>
      </c>
      <c r="L81" s="272" t="s">
        <v>319</v>
      </c>
      <c r="M81" s="273" t="s">
        <v>322</v>
      </c>
      <c r="N81" s="274" t="s">
        <v>323</v>
      </c>
    </row>
    <row r="82">
      <c r="A82" s="28"/>
      <c r="B82" s="275" t="s">
        <v>94</v>
      </c>
      <c r="C82" s="276" t="s">
        <v>324</v>
      </c>
      <c r="D82" s="277" t="s">
        <v>325</v>
      </c>
      <c r="E82" s="278">
        <v>3.0</v>
      </c>
      <c r="F82" s="279" t="str">
        <f t="shared" ref="F82:F90" si="2">IF(ISBLANK(E82),"— Belum diisi",IF(E82=1,"Sangat Tidak Sesuai",IF(E82=2,"Tidak Sesuai",IF(E82=3,"Cukup Sesuai",IF(E82=4,"Sesuai",IF(E82=5,"Sangat Sesuai","—"))))))</f>
        <v>Cukup Sesuai</v>
      </c>
      <c r="G82" s="280" t="s">
        <v>771</v>
      </c>
      <c r="H82" s="164"/>
      <c r="I82" s="281" t="s">
        <v>94</v>
      </c>
      <c r="J82" s="282" t="s">
        <v>324</v>
      </c>
      <c r="K82" s="283" t="s">
        <v>325</v>
      </c>
      <c r="L82" s="278">
        <v>3.0</v>
      </c>
      <c r="M82" s="285" t="str">
        <f t="shared" ref="M82:M90" si="3">IF(ISBLANK(L82),"— Belum diisi",IF(L82=1,"Sangat Tidak Sesuai",IF(L82=2,"Tidak Sesuai",IF(L82=3,"Cukup Sesuai",IF(L82=4,"Sesuai",IF(L82=5,"Sangat Sesuai","—"))))))</f>
        <v>Cukup Sesuai</v>
      </c>
      <c r="N82" s="280" t="s">
        <v>771</v>
      </c>
    </row>
    <row r="83">
      <c r="A83" s="28"/>
      <c r="B83" s="275" t="s">
        <v>95</v>
      </c>
      <c r="C83" s="286" t="s">
        <v>327</v>
      </c>
      <c r="D83" s="287" t="s">
        <v>328</v>
      </c>
      <c r="E83" s="278">
        <v>3.0</v>
      </c>
      <c r="F83" s="288" t="str">
        <f t="shared" si="2"/>
        <v>Cukup Sesuai</v>
      </c>
      <c r="G83" s="278" t="s">
        <v>772</v>
      </c>
      <c r="H83" s="164"/>
      <c r="I83" s="281" t="s">
        <v>95</v>
      </c>
      <c r="J83" s="286" t="s">
        <v>327</v>
      </c>
      <c r="K83" s="287" t="s">
        <v>328</v>
      </c>
      <c r="L83" s="278">
        <v>3.0</v>
      </c>
      <c r="M83" s="288" t="str">
        <f t="shared" si="3"/>
        <v>Cukup Sesuai</v>
      </c>
      <c r="N83" s="280" t="s">
        <v>772</v>
      </c>
    </row>
    <row r="84">
      <c r="A84" s="28"/>
      <c r="B84" s="275" t="s">
        <v>96</v>
      </c>
      <c r="C84" s="276" t="s">
        <v>330</v>
      </c>
      <c r="D84" s="277" t="s">
        <v>331</v>
      </c>
      <c r="E84" s="278">
        <v>3.0</v>
      </c>
      <c r="F84" s="279" t="str">
        <f t="shared" si="2"/>
        <v>Cukup Sesuai</v>
      </c>
      <c r="G84" s="278"/>
      <c r="H84" s="164"/>
      <c r="I84" s="281" t="s">
        <v>96</v>
      </c>
      <c r="J84" s="282" t="s">
        <v>330</v>
      </c>
      <c r="K84" s="289" t="s">
        <v>331</v>
      </c>
      <c r="L84" s="278">
        <v>3.0</v>
      </c>
      <c r="M84" s="290" t="str">
        <f t="shared" si="3"/>
        <v>Cukup Sesuai</v>
      </c>
      <c r="N84" s="297"/>
    </row>
    <row r="85">
      <c r="A85" s="28"/>
      <c r="B85" s="275" t="s">
        <v>97</v>
      </c>
      <c r="C85" s="286" t="s">
        <v>334</v>
      </c>
      <c r="D85" s="287" t="s">
        <v>335</v>
      </c>
      <c r="E85" s="278">
        <v>3.0</v>
      </c>
      <c r="F85" s="288" t="str">
        <f t="shared" si="2"/>
        <v>Cukup Sesuai</v>
      </c>
      <c r="G85" s="280" t="s">
        <v>773</v>
      </c>
      <c r="H85" s="164"/>
      <c r="I85" s="281" t="s">
        <v>97</v>
      </c>
      <c r="J85" s="286" t="s">
        <v>334</v>
      </c>
      <c r="K85" s="287" t="s">
        <v>335</v>
      </c>
      <c r="L85" s="278">
        <v>3.0</v>
      </c>
      <c r="M85" s="288" t="str">
        <f t="shared" si="3"/>
        <v>Cukup Sesuai</v>
      </c>
      <c r="N85" s="280" t="s">
        <v>774</v>
      </c>
    </row>
    <row r="86">
      <c r="A86" s="28"/>
      <c r="B86" s="275" t="s">
        <v>98</v>
      </c>
      <c r="C86" s="276" t="s">
        <v>336</v>
      </c>
      <c r="D86" s="277" t="s">
        <v>337</v>
      </c>
      <c r="E86" s="278">
        <v>3.0</v>
      </c>
      <c r="F86" s="279" t="str">
        <f t="shared" si="2"/>
        <v>Cukup Sesuai</v>
      </c>
      <c r="G86" s="280" t="s">
        <v>775</v>
      </c>
      <c r="H86" s="164"/>
      <c r="I86" s="281" t="s">
        <v>98</v>
      </c>
      <c r="J86" s="282" t="s">
        <v>336</v>
      </c>
      <c r="K86" s="289" t="s">
        <v>337</v>
      </c>
      <c r="L86" s="278">
        <v>3.0</v>
      </c>
      <c r="M86" s="290" t="str">
        <f t="shared" si="3"/>
        <v>Cukup Sesuai</v>
      </c>
      <c r="N86" s="280" t="s">
        <v>776</v>
      </c>
    </row>
    <row r="87">
      <c r="A87" s="28"/>
      <c r="B87" s="291" t="s">
        <v>99</v>
      </c>
      <c r="C87" s="286" t="s">
        <v>339</v>
      </c>
      <c r="D87" s="287" t="s">
        <v>340</v>
      </c>
      <c r="E87" s="278">
        <v>3.0</v>
      </c>
      <c r="F87" s="288" t="str">
        <f t="shared" si="2"/>
        <v>Cukup Sesuai</v>
      </c>
      <c r="G87" s="280" t="s">
        <v>777</v>
      </c>
      <c r="H87" s="164"/>
      <c r="I87" s="292" t="s">
        <v>99</v>
      </c>
      <c r="J87" s="286" t="s">
        <v>339</v>
      </c>
      <c r="K87" s="287" t="s">
        <v>340</v>
      </c>
      <c r="L87" s="278">
        <v>3.0</v>
      </c>
      <c r="M87" s="288" t="str">
        <f t="shared" si="3"/>
        <v>Cukup Sesuai</v>
      </c>
      <c r="N87" s="280" t="s">
        <v>778</v>
      </c>
    </row>
    <row r="88">
      <c r="A88" s="28"/>
      <c r="B88" s="293" t="s">
        <v>100</v>
      </c>
      <c r="C88" s="276" t="s">
        <v>343</v>
      </c>
      <c r="D88" s="277" t="s">
        <v>344</v>
      </c>
      <c r="E88" s="278">
        <v>3.0</v>
      </c>
      <c r="F88" s="279" t="str">
        <f t="shared" si="2"/>
        <v>Cukup Sesuai</v>
      </c>
      <c r="G88" s="280" t="s">
        <v>345</v>
      </c>
      <c r="H88" s="164"/>
      <c r="I88" s="294" t="s">
        <v>100</v>
      </c>
      <c r="J88" s="282" t="s">
        <v>343</v>
      </c>
      <c r="K88" s="289" t="s">
        <v>344</v>
      </c>
      <c r="L88" s="278">
        <v>3.0</v>
      </c>
      <c r="M88" s="290" t="str">
        <f t="shared" si="3"/>
        <v>Cukup Sesuai</v>
      </c>
      <c r="N88" s="280" t="s">
        <v>345</v>
      </c>
    </row>
    <row r="89">
      <c r="A89" s="28"/>
      <c r="B89" s="295" t="s">
        <v>101</v>
      </c>
      <c r="C89" s="286" t="s">
        <v>346</v>
      </c>
      <c r="D89" s="287" t="s">
        <v>347</v>
      </c>
      <c r="E89" s="278">
        <v>4.0</v>
      </c>
      <c r="F89" s="288" t="str">
        <f t="shared" si="2"/>
        <v>Sesuai</v>
      </c>
      <c r="G89" s="297"/>
      <c r="H89" s="164"/>
      <c r="I89" s="296" t="s">
        <v>101</v>
      </c>
      <c r="J89" s="286" t="s">
        <v>346</v>
      </c>
      <c r="K89" s="287" t="s">
        <v>347</v>
      </c>
      <c r="L89" s="278">
        <v>4.0</v>
      </c>
      <c r="M89" s="288" t="str">
        <f t="shared" si="3"/>
        <v>Sesuai</v>
      </c>
      <c r="N89" s="297"/>
    </row>
    <row r="90">
      <c r="A90" s="28"/>
      <c r="B90" s="298" t="s">
        <v>102</v>
      </c>
      <c r="C90" s="276" t="s">
        <v>349</v>
      </c>
      <c r="D90" s="277" t="s">
        <v>350</v>
      </c>
      <c r="E90" s="278">
        <v>4.0</v>
      </c>
      <c r="F90" s="279" t="str">
        <f t="shared" si="2"/>
        <v>Sesuai</v>
      </c>
      <c r="G90" s="297"/>
      <c r="H90" s="164"/>
      <c r="I90" s="299" t="s">
        <v>102</v>
      </c>
      <c r="J90" s="282" t="s">
        <v>349</v>
      </c>
      <c r="K90" s="289" t="s">
        <v>350</v>
      </c>
      <c r="L90" s="278">
        <v>4.0</v>
      </c>
      <c r="M90" s="290" t="str">
        <f t="shared" si="3"/>
        <v>Sesuai</v>
      </c>
      <c r="N90" s="297"/>
    </row>
    <row r="91" ht="24.0" customHeight="1">
      <c r="A91" s="28"/>
      <c r="B91" s="456" t="s">
        <v>351</v>
      </c>
      <c r="C91" s="301"/>
      <c r="D91" s="27"/>
      <c r="E91" s="457">
        <f>IFERROR(AVERAGE(E82,E83,E84,E85,E86,E87,E88,E89,E90),"—")</f>
        <v>3.222222222</v>
      </c>
      <c r="F91" s="458" t="str">
        <f>IF(ISNUMBER(E91),IF(E91&lt;2,"Sangat Tidak Sesuai",IF(E91&lt;3,"Tidak Sesuai",IF(E91&lt;4,"Cukup Sesuai",IF(E91&lt;4.6,"Sesuai","Sangat Sesuai")))),"—")</f>
        <v>Cukup Sesuai</v>
      </c>
      <c r="G91" s="3"/>
      <c r="H91" s="164"/>
      <c r="I91" s="459" t="s">
        <v>351</v>
      </c>
      <c r="J91" s="301"/>
      <c r="K91" s="27"/>
      <c r="L91" s="460">
        <f>IFERROR(AVERAGE(L82,L83,L84,L85,L86,L87,L88,L89,L90),"—")</f>
        <v>3.222222222</v>
      </c>
      <c r="M91" s="461" t="str">
        <f>IF(ISNUMBER(L91),IF(L91&lt;2,"Sangat Tidak Sesuai",IF(L91&lt;3,"Tidak Sesuai",IF(L91&lt;4,"Cukup Sesuai",IF(L91&lt;4.6,"Sesuai","Sangat Sesuai")))),"—")</f>
        <v>Cukup Sesuai</v>
      </c>
      <c r="N91" s="3"/>
      <c r="O91" s="365"/>
      <c r="P91" s="365"/>
      <c r="Q91" s="365"/>
      <c r="R91" s="365"/>
      <c r="S91" s="365"/>
      <c r="T91" s="365"/>
      <c r="U91" s="365"/>
      <c r="V91" s="365"/>
      <c r="W91" s="365"/>
      <c r="X91" s="365"/>
      <c r="Y91" s="365"/>
      <c r="Z91" s="365"/>
    </row>
    <row r="92">
      <c r="A92" s="28"/>
      <c r="B92" s="306"/>
    </row>
    <row r="93" ht="24.0" customHeight="1">
      <c r="A93" s="142"/>
      <c r="B93" s="307" t="s">
        <v>352</v>
      </c>
      <c r="C93" s="170"/>
      <c r="D93" s="170"/>
      <c r="E93" s="170"/>
      <c r="F93" s="170"/>
      <c r="G93" s="170"/>
      <c r="H93" s="170"/>
      <c r="I93" s="170"/>
      <c r="J93" s="170"/>
      <c r="K93" s="170"/>
      <c r="L93" s="170"/>
      <c r="M93" s="170"/>
      <c r="N93" s="308"/>
      <c r="O93" s="146"/>
      <c r="P93" s="146"/>
      <c r="Q93" s="146"/>
      <c r="R93" s="146"/>
      <c r="S93" s="146"/>
      <c r="T93" s="146"/>
      <c r="U93" s="146"/>
      <c r="V93" s="146"/>
      <c r="W93" s="146"/>
      <c r="X93" s="146"/>
      <c r="Y93" s="146"/>
      <c r="Z93" s="146"/>
    </row>
    <row r="94" ht="30.75" customHeight="1">
      <c r="A94" s="147"/>
      <c r="B94" s="309" t="s">
        <v>353</v>
      </c>
      <c r="C94" s="310"/>
      <c r="D94" s="310"/>
      <c r="E94" s="310"/>
      <c r="F94" s="310"/>
      <c r="G94" s="311"/>
      <c r="H94" s="312"/>
      <c r="I94" s="313" t="s">
        <v>354</v>
      </c>
      <c r="J94" s="30"/>
      <c r="K94" s="30"/>
      <c r="L94" s="30"/>
      <c r="M94" s="30"/>
      <c r="N94" s="3"/>
      <c r="O94" s="153"/>
      <c r="P94" s="153"/>
      <c r="Q94" s="153"/>
      <c r="R94" s="153"/>
      <c r="S94" s="153"/>
      <c r="T94" s="153"/>
      <c r="U94" s="153"/>
      <c r="V94" s="153"/>
      <c r="W94" s="153"/>
      <c r="X94" s="153"/>
      <c r="Y94" s="153"/>
      <c r="Z94" s="153"/>
    </row>
    <row r="95">
      <c r="A95" s="28"/>
      <c r="B95" s="314" t="s">
        <v>355</v>
      </c>
      <c r="C95" s="315"/>
      <c r="D95" s="315"/>
      <c r="E95" s="315"/>
      <c r="F95" s="315"/>
      <c r="G95" s="316"/>
      <c r="H95" s="260"/>
      <c r="I95" s="317" t="s">
        <v>355</v>
      </c>
      <c r="J95" s="30"/>
      <c r="K95" s="30"/>
      <c r="L95" s="30"/>
      <c r="M95" s="30"/>
      <c r="N95" s="3"/>
    </row>
    <row r="96">
      <c r="A96" s="28"/>
      <c r="B96" s="318" t="s">
        <v>356</v>
      </c>
      <c r="H96" s="260"/>
      <c r="I96" s="319" t="s">
        <v>356</v>
      </c>
      <c r="J96" s="30"/>
      <c r="K96" s="30"/>
      <c r="L96" s="30"/>
      <c r="M96" s="30"/>
      <c r="N96" s="3"/>
    </row>
    <row r="97">
      <c r="A97" s="28"/>
      <c r="B97" s="320" t="s">
        <v>779</v>
      </c>
      <c r="G97" s="321"/>
      <c r="H97" s="322"/>
      <c r="I97" s="323" t="s">
        <v>779</v>
      </c>
      <c r="J97" s="324"/>
      <c r="K97" s="324"/>
      <c r="L97" s="324"/>
      <c r="M97" s="324"/>
      <c r="N97" s="325"/>
    </row>
    <row r="98">
      <c r="A98" s="28"/>
      <c r="B98" s="326"/>
      <c r="G98" s="321"/>
      <c r="H98" s="322"/>
      <c r="I98" s="327"/>
      <c r="N98" s="328"/>
    </row>
    <row r="99">
      <c r="A99" s="28"/>
      <c r="B99" s="326"/>
      <c r="G99" s="321"/>
      <c r="H99" s="322"/>
      <c r="I99" s="327"/>
      <c r="N99" s="328"/>
    </row>
    <row r="100">
      <c r="A100" s="28"/>
      <c r="B100" s="329"/>
      <c r="C100" s="330"/>
      <c r="D100" s="330"/>
      <c r="E100" s="330"/>
      <c r="F100" s="330"/>
      <c r="G100" s="331"/>
      <c r="H100" s="322"/>
      <c r="I100" s="332"/>
      <c r="J100" s="333"/>
      <c r="K100" s="333"/>
      <c r="L100" s="333"/>
      <c r="M100" s="333"/>
      <c r="N100" s="334"/>
    </row>
    <row r="101">
      <c r="A101" s="28"/>
      <c r="B101" s="28"/>
      <c r="C101" s="28"/>
      <c r="D101" s="28"/>
      <c r="E101" s="28"/>
      <c r="F101" s="28"/>
      <c r="G101" s="28"/>
    </row>
    <row r="102">
      <c r="A102" s="28"/>
      <c r="B102" s="335" t="s">
        <v>358</v>
      </c>
      <c r="C102" s="144"/>
      <c r="D102" s="144"/>
      <c r="E102" s="144"/>
      <c r="F102" s="144"/>
      <c r="G102" s="145"/>
      <c r="H102" s="164"/>
      <c r="I102" s="336" t="s">
        <v>358</v>
      </c>
      <c r="J102" s="30"/>
      <c r="K102" s="30"/>
      <c r="L102" s="30"/>
      <c r="M102" s="30"/>
      <c r="N102" s="3"/>
    </row>
    <row r="103">
      <c r="A103" s="28"/>
      <c r="B103" s="337" t="s">
        <v>359</v>
      </c>
      <c r="H103" s="260"/>
      <c r="I103" s="338" t="s">
        <v>359</v>
      </c>
      <c r="J103" s="30"/>
      <c r="K103" s="30"/>
      <c r="L103" s="30"/>
      <c r="M103" s="30"/>
      <c r="N103" s="3"/>
    </row>
    <row r="104">
      <c r="A104" s="28"/>
      <c r="B104" s="339" t="s">
        <v>613</v>
      </c>
      <c r="G104" s="328"/>
      <c r="H104" s="340"/>
      <c r="I104" s="341" t="s">
        <v>613</v>
      </c>
      <c r="J104" s="324"/>
      <c r="K104" s="324"/>
      <c r="L104" s="324"/>
      <c r="M104" s="324"/>
      <c r="N104" s="325"/>
    </row>
    <row r="105">
      <c r="A105" s="28"/>
      <c r="B105" s="342"/>
      <c r="G105" s="328"/>
      <c r="H105" s="340"/>
      <c r="I105" s="327"/>
      <c r="N105" s="328"/>
    </row>
    <row r="106">
      <c r="A106" s="28"/>
      <c r="B106" s="342"/>
      <c r="G106" s="328"/>
      <c r="H106" s="340"/>
      <c r="I106" s="327"/>
      <c r="N106" s="328"/>
    </row>
    <row r="107">
      <c r="A107" s="28"/>
      <c r="B107" s="343"/>
      <c r="C107" s="163"/>
      <c r="D107" s="163"/>
      <c r="E107" s="163"/>
      <c r="F107" s="163"/>
      <c r="G107" s="344"/>
      <c r="H107" s="340"/>
      <c r="I107" s="332"/>
      <c r="J107" s="333"/>
      <c r="K107" s="333"/>
      <c r="L107" s="333"/>
      <c r="M107" s="333"/>
      <c r="N107" s="334"/>
    </row>
    <row r="108">
      <c r="A108" s="28"/>
    </row>
    <row r="109">
      <c r="A109" s="28"/>
      <c r="B109" s="345" t="s">
        <v>361</v>
      </c>
      <c r="C109" s="30"/>
      <c r="D109" s="30"/>
      <c r="E109" s="30"/>
      <c r="F109" s="30"/>
      <c r="G109" s="3"/>
      <c r="H109" s="164"/>
      <c r="I109" s="346" t="s">
        <v>361</v>
      </c>
      <c r="J109" s="30"/>
      <c r="K109" s="30"/>
      <c r="L109" s="30"/>
      <c r="M109" s="30"/>
      <c r="N109" s="3"/>
    </row>
    <row r="110">
      <c r="A110" s="28"/>
      <c r="B110" s="347" t="s">
        <v>362</v>
      </c>
      <c r="C110" s="30"/>
      <c r="D110" s="30"/>
      <c r="E110" s="30"/>
      <c r="F110" s="30"/>
      <c r="G110" s="3"/>
      <c r="H110" s="164"/>
      <c r="I110" s="348" t="s">
        <v>362</v>
      </c>
      <c r="J110" s="30"/>
      <c r="K110" s="30"/>
      <c r="L110" s="30"/>
      <c r="M110" s="30"/>
      <c r="N110" s="3"/>
    </row>
    <row r="111">
      <c r="A111" s="28"/>
      <c r="B111" s="349" t="s">
        <v>363</v>
      </c>
      <c r="C111" s="324"/>
      <c r="D111" s="324"/>
      <c r="E111" s="324"/>
      <c r="F111" s="324"/>
      <c r="G111" s="325"/>
      <c r="H111" s="340"/>
      <c r="I111" s="350" t="s">
        <v>363</v>
      </c>
      <c r="J111" s="324"/>
      <c r="K111" s="324"/>
      <c r="L111" s="324"/>
      <c r="M111" s="324"/>
      <c r="N111" s="325"/>
    </row>
    <row r="112">
      <c r="A112" s="28"/>
      <c r="B112" s="327"/>
      <c r="G112" s="328"/>
      <c r="H112" s="340"/>
      <c r="I112" s="327"/>
      <c r="N112" s="328"/>
    </row>
    <row r="113">
      <c r="A113" s="28"/>
      <c r="B113" s="327"/>
      <c r="G113" s="328"/>
      <c r="H113" s="340"/>
      <c r="I113" s="327"/>
      <c r="N113" s="328"/>
    </row>
    <row r="114">
      <c r="A114" s="28"/>
      <c r="B114" s="332"/>
      <c r="C114" s="333"/>
      <c r="D114" s="333"/>
      <c r="E114" s="333"/>
      <c r="F114" s="333"/>
      <c r="G114" s="334"/>
      <c r="H114" s="340"/>
      <c r="I114" s="332"/>
      <c r="J114" s="333"/>
      <c r="K114" s="333"/>
      <c r="L114" s="333"/>
      <c r="M114" s="333"/>
      <c r="N114" s="334"/>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sheetData>
  <mergeCells count="125">
    <mergeCell ref="M43:N43"/>
    <mergeCell ref="M44:N44"/>
    <mergeCell ref="M45:N45"/>
    <mergeCell ref="M46:N46"/>
    <mergeCell ref="M47:N47"/>
    <mergeCell ref="M48:N48"/>
    <mergeCell ref="M49:N49"/>
    <mergeCell ref="M50:N50"/>
    <mergeCell ref="M51:N51"/>
    <mergeCell ref="M56:N56"/>
    <mergeCell ref="M57:N57"/>
    <mergeCell ref="M58:N58"/>
    <mergeCell ref="M59:N59"/>
    <mergeCell ref="M63:N63"/>
    <mergeCell ref="M71:N71"/>
    <mergeCell ref="M72:N72"/>
    <mergeCell ref="M73:N73"/>
    <mergeCell ref="M74:N74"/>
    <mergeCell ref="M75:N75"/>
    <mergeCell ref="M76:N76"/>
    <mergeCell ref="M77:N77"/>
    <mergeCell ref="M64:N64"/>
    <mergeCell ref="M65:N65"/>
    <mergeCell ref="M66:N66"/>
    <mergeCell ref="M67:N67"/>
    <mergeCell ref="M68:N68"/>
    <mergeCell ref="M69:N69"/>
    <mergeCell ref="M70:N70"/>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3:G63"/>
    <mergeCell ref="F64:G64"/>
    <mergeCell ref="F65:G65"/>
    <mergeCell ref="F73:G73"/>
    <mergeCell ref="F74:G74"/>
    <mergeCell ref="F75:G75"/>
    <mergeCell ref="F76:G76"/>
    <mergeCell ref="F77:G77"/>
    <mergeCell ref="F66:G66"/>
    <mergeCell ref="F67:G67"/>
    <mergeCell ref="F68:G68"/>
    <mergeCell ref="F69:G69"/>
    <mergeCell ref="F70:G70"/>
    <mergeCell ref="F71:G71"/>
    <mergeCell ref="F72:G72"/>
    <mergeCell ref="I94:N94"/>
    <mergeCell ref="I95:N95"/>
    <mergeCell ref="B91:D91"/>
    <mergeCell ref="F91:G91"/>
    <mergeCell ref="I91:K91"/>
    <mergeCell ref="M91:N91"/>
    <mergeCell ref="B93:N93"/>
    <mergeCell ref="B94:G94"/>
    <mergeCell ref="B95:G95"/>
    <mergeCell ref="B96:G96"/>
    <mergeCell ref="I96:N96"/>
    <mergeCell ref="B97:G100"/>
    <mergeCell ref="I97:N100"/>
    <mergeCell ref="B102:G102"/>
    <mergeCell ref="I102:N102"/>
    <mergeCell ref="I103:N103"/>
    <mergeCell ref="I110:N110"/>
    <mergeCell ref="I111:N114"/>
    <mergeCell ref="B103:G103"/>
    <mergeCell ref="B104:G107"/>
    <mergeCell ref="I104:N107"/>
    <mergeCell ref="B109:G109"/>
    <mergeCell ref="I109:N109"/>
    <mergeCell ref="B110:G110"/>
    <mergeCell ref="B111:G114"/>
    <mergeCell ref="I15:N15"/>
    <mergeCell ref="M16:N16"/>
    <mergeCell ref="B2:N2"/>
    <mergeCell ref="B3:N3"/>
    <mergeCell ref="B5:C5"/>
    <mergeCell ref="D5:E5"/>
    <mergeCell ref="B14:N14"/>
    <mergeCell ref="B15:G15"/>
    <mergeCell ref="F16:G16"/>
    <mergeCell ref="F17:G17"/>
    <mergeCell ref="F18:G18"/>
    <mergeCell ref="F19:G19"/>
    <mergeCell ref="F21:G21"/>
    <mergeCell ref="F22:G22"/>
    <mergeCell ref="F23:G23"/>
    <mergeCell ref="F25:G25"/>
    <mergeCell ref="F26:G26"/>
    <mergeCell ref="F27:G27"/>
    <mergeCell ref="F29:G29"/>
    <mergeCell ref="B31:N31"/>
    <mergeCell ref="B32:G32"/>
    <mergeCell ref="I32:N32"/>
    <mergeCell ref="F33:G33"/>
    <mergeCell ref="M33:N33"/>
    <mergeCell ref="B39:N39"/>
    <mergeCell ref="B40:G40"/>
    <mergeCell ref="I40:N40"/>
    <mergeCell ref="F41:G41"/>
    <mergeCell ref="M41:N41"/>
    <mergeCell ref="M42:N42"/>
    <mergeCell ref="M52:N52"/>
    <mergeCell ref="M55:N55"/>
    <mergeCell ref="M53:N53"/>
    <mergeCell ref="M54:N54"/>
    <mergeCell ref="B61:N61"/>
    <mergeCell ref="B62:G62"/>
    <mergeCell ref="I62:N62"/>
    <mergeCell ref="B79:N79"/>
    <mergeCell ref="B80:N80"/>
  </mergeCells>
  <conditionalFormatting sqref="E42:E59 E64:E77 L42:L59 L64:L77">
    <cfRule type="cellIs" dxfId="2" priority="1" operator="greaterThan">
      <formula>"100%"</formula>
    </cfRule>
  </conditionalFormatting>
  <conditionalFormatting sqref="E42:E59 E64:E77 L42:L59 L64:L77">
    <cfRule type="cellIs" dxfId="1" priority="2" operator="lessThan">
      <formula>"100%"</formula>
    </cfRule>
  </conditionalFormatting>
  <conditionalFormatting sqref="E42:E59 E64:E77">
    <cfRule type="cellIs" dxfId="3" priority="3" operator="equal">
      <formula>"100%"</formula>
    </cfRule>
  </conditionalFormatting>
  <conditionalFormatting sqref="L42:L59">
    <cfRule type="cellIs" dxfId="0" priority="4" operator="equal">
      <formula>"100%"</formula>
    </cfRule>
  </conditionalFormatting>
  <conditionalFormatting sqref="L42:L59 L64:L77">
    <cfRule type="cellIs" dxfId="0" priority="5" operator="equal">
      <formula>"100%"</formula>
    </cfRule>
  </conditionalFormatting>
  <dataValidations>
    <dataValidation type="list" allowBlank="1" showInputMessage="1" showErrorMessage="1" prompt="Nilai Tidak Valid - Silakan pilih nilai 1–5 dari dropdown." sqref="E82:E90 L82:L90">
      <formula1>"1,2,3,4,5"</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
    <col customWidth="1" min="2" max="2" width="26.0"/>
    <col customWidth="1" min="3" max="3" width="24.0"/>
    <col customWidth="1" min="4" max="4" width="22.0"/>
    <col customWidth="1" min="5" max="5" width="29.0"/>
    <col customWidth="1" min="6" max="6" width="18.0"/>
    <col customWidth="1" min="7" max="7" width="28.0"/>
    <col customWidth="1" min="9" max="9" width="30.14"/>
    <col customWidth="1" min="10" max="10" width="15.86"/>
    <col customWidth="1" min="11" max="11" width="22.29"/>
    <col customWidth="1" min="12" max="12" width="20.57"/>
    <col customWidth="1" min="14" max="14" width="19.71"/>
  </cols>
  <sheetData>
    <row r="1">
      <c r="A1" s="28"/>
      <c r="B1" s="28"/>
      <c r="C1" s="28"/>
      <c r="D1" s="28"/>
      <c r="E1" s="28"/>
      <c r="F1" s="28"/>
      <c r="G1" s="28"/>
    </row>
    <row r="2" ht="27.75" customHeight="1">
      <c r="A2" s="351"/>
      <c r="B2" s="352" t="s">
        <v>780</v>
      </c>
      <c r="C2" s="30"/>
      <c r="D2" s="30"/>
      <c r="E2" s="30"/>
      <c r="F2" s="30"/>
      <c r="G2" s="30"/>
      <c r="H2" s="30"/>
      <c r="I2" s="30"/>
      <c r="J2" s="30"/>
      <c r="K2" s="30"/>
      <c r="L2" s="30"/>
      <c r="M2" s="30"/>
      <c r="N2" s="3"/>
      <c r="O2" s="353"/>
      <c r="P2" s="353"/>
      <c r="Q2" s="353"/>
      <c r="R2" s="353"/>
      <c r="S2" s="353"/>
      <c r="T2" s="353"/>
      <c r="U2" s="353"/>
      <c r="V2" s="353"/>
      <c r="W2" s="353"/>
      <c r="X2" s="353"/>
      <c r="Y2" s="353"/>
      <c r="Z2" s="353"/>
    </row>
    <row r="3">
      <c r="A3" s="28"/>
      <c r="B3" s="133" t="s">
        <v>781</v>
      </c>
      <c r="C3" s="30"/>
      <c r="D3" s="30"/>
      <c r="E3" s="30"/>
      <c r="F3" s="30"/>
      <c r="G3" s="30"/>
      <c r="H3" s="30"/>
      <c r="I3" s="30"/>
      <c r="J3" s="30"/>
      <c r="K3" s="30"/>
      <c r="L3" s="30"/>
      <c r="M3" s="30"/>
      <c r="N3" s="3"/>
    </row>
    <row r="4">
      <c r="A4" s="28"/>
      <c r="B4" s="28"/>
      <c r="C4" s="28"/>
      <c r="D4" s="28"/>
      <c r="E4" s="28"/>
      <c r="F4" s="28"/>
      <c r="G4" s="28"/>
    </row>
    <row r="5" ht="27.0" customHeight="1">
      <c r="A5" s="142"/>
      <c r="B5" s="134" t="s">
        <v>146</v>
      </c>
      <c r="C5" s="27"/>
      <c r="D5" s="134" t="s">
        <v>147</v>
      </c>
      <c r="E5" s="27"/>
      <c r="F5" s="142"/>
      <c r="G5" s="142"/>
      <c r="H5" s="146"/>
      <c r="I5" s="146"/>
      <c r="J5" s="146"/>
      <c r="K5" s="146"/>
      <c r="L5" s="146"/>
      <c r="M5" s="146"/>
      <c r="N5" s="146"/>
      <c r="O5" s="146"/>
      <c r="P5" s="146"/>
      <c r="Q5" s="146"/>
      <c r="R5" s="146"/>
      <c r="S5" s="146"/>
      <c r="T5" s="146"/>
      <c r="U5" s="146"/>
      <c r="V5" s="146"/>
      <c r="W5" s="146"/>
      <c r="X5" s="146"/>
      <c r="Y5" s="146"/>
      <c r="Z5" s="146"/>
    </row>
    <row r="6">
      <c r="A6" s="28"/>
      <c r="B6" s="135" t="s">
        <v>148</v>
      </c>
      <c r="C6" s="462">
        <v>55.0</v>
      </c>
      <c r="D6" s="135" t="s">
        <v>149</v>
      </c>
      <c r="E6" s="138" t="s">
        <v>674</v>
      </c>
      <c r="F6" s="28"/>
      <c r="G6" s="28"/>
    </row>
    <row r="7">
      <c r="A7" s="28"/>
      <c r="B7" s="139" t="s">
        <v>150</v>
      </c>
      <c r="C7" s="462" t="s">
        <v>675</v>
      </c>
      <c r="D7" s="139" t="s">
        <v>152</v>
      </c>
      <c r="E7" s="138">
        <v>1995.0</v>
      </c>
      <c r="F7" s="28"/>
      <c r="G7" s="28"/>
    </row>
    <row r="8">
      <c r="A8" s="28"/>
      <c r="B8" s="135" t="s">
        <v>154</v>
      </c>
      <c r="C8" s="462">
        <v>83.0</v>
      </c>
      <c r="D8" s="135" t="s">
        <v>155</v>
      </c>
      <c r="E8" s="138" t="s">
        <v>443</v>
      </c>
      <c r="F8" s="28"/>
      <c r="G8" s="28"/>
    </row>
    <row r="9">
      <c r="A9" s="28"/>
      <c r="B9" s="139" t="s">
        <v>157</v>
      </c>
      <c r="C9" s="462">
        <v>162.0</v>
      </c>
      <c r="D9" s="139" t="s">
        <v>158</v>
      </c>
      <c r="E9" s="138" t="s">
        <v>782</v>
      </c>
      <c r="F9" s="28"/>
      <c r="G9" s="28"/>
    </row>
    <row r="10">
      <c r="A10" s="28"/>
      <c r="B10" s="135" t="s">
        <v>160</v>
      </c>
      <c r="C10" s="462" t="s">
        <v>679</v>
      </c>
      <c r="D10" s="135" t="s">
        <v>162</v>
      </c>
      <c r="E10" s="138" t="s">
        <v>783</v>
      </c>
      <c r="F10" s="28"/>
      <c r="G10" s="28"/>
    </row>
    <row r="11">
      <c r="A11" s="28"/>
      <c r="B11" s="139" t="s">
        <v>93</v>
      </c>
      <c r="C11" s="463" t="s">
        <v>784</v>
      </c>
      <c r="D11" s="139" t="s">
        <v>165</v>
      </c>
      <c r="E11" s="138" t="s">
        <v>785</v>
      </c>
      <c r="F11" s="28"/>
      <c r="G11" s="28"/>
    </row>
    <row r="12">
      <c r="A12" s="28"/>
      <c r="B12" s="141"/>
      <c r="C12" s="141"/>
      <c r="D12" s="135" t="s">
        <v>167</v>
      </c>
      <c r="E12" s="138" t="s">
        <v>683</v>
      </c>
      <c r="F12" s="28"/>
      <c r="G12" s="28"/>
    </row>
    <row r="13">
      <c r="A13" s="28"/>
      <c r="B13" s="28"/>
      <c r="C13" s="28"/>
      <c r="D13" s="28"/>
      <c r="E13" s="28"/>
      <c r="F13" s="28"/>
      <c r="G13" s="28"/>
    </row>
    <row r="14" ht="27.0" customHeight="1">
      <c r="A14" s="142"/>
      <c r="B14" s="143" t="s">
        <v>169</v>
      </c>
      <c r="C14" s="144"/>
      <c r="D14" s="144"/>
      <c r="E14" s="144"/>
      <c r="F14" s="144"/>
      <c r="G14" s="144"/>
      <c r="H14" s="144"/>
      <c r="I14" s="144"/>
      <c r="J14" s="144"/>
      <c r="K14" s="144"/>
      <c r="L14" s="144"/>
      <c r="M14" s="144"/>
      <c r="N14" s="145"/>
      <c r="O14" s="146"/>
      <c r="P14" s="146"/>
      <c r="Q14" s="146"/>
      <c r="R14" s="146"/>
      <c r="S14" s="146"/>
      <c r="T14" s="146"/>
      <c r="U14" s="146"/>
      <c r="V14" s="146"/>
      <c r="W14" s="146"/>
      <c r="X14" s="146"/>
      <c r="Y14" s="146"/>
      <c r="Z14" s="146"/>
    </row>
    <row r="15" ht="23.25" customHeight="1">
      <c r="A15" s="147"/>
      <c r="B15" s="148" t="s">
        <v>170</v>
      </c>
      <c r="C15" s="149"/>
      <c r="D15" s="149"/>
      <c r="E15" s="149"/>
      <c r="F15" s="149"/>
      <c r="G15" s="150"/>
      <c r="H15" s="151"/>
      <c r="I15" s="152" t="s">
        <v>171</v>
      </c>
      <c r="J15" s="149"/>
      <c r="K15" s="149"/>
      <c r="L15" s="149"/>
      <c r="M15" s="149"/>
      <c r="N15" s="150"/>
      <c r="O15" s="153"/>
      <c r="P15" s="153"/>
      <c r="Q15" s="153"/>
      <c r="R15" s="153"/>
      <c r="S15" s="153"/>
      <c r="T15" s="153"/>
      <c r="U15" s="153"/>
      <c r="V15" s="153"/>
      <c r="W15" s="153"/>
      <c r="X15" s="153"/>
      <c r="Y15" s="153"/>
      <c r="Z15" s="153"/>
    </row>
    <row r="16">
      <c r="A16" s="28"/>
      <c r="B16" s="154" t="s">
        <v>172</v>
      </c>
      <c r="C16" s="154" t="s">
        <v>173</v>
      </c>
      <c r="D16" s="154" t="s">
        <v>174</v>
      </c>
      <c r="E16" s="154" t="s">
        <v>175</v>
      </c>
      <c r="F16" s="155" t="s">
        <v>371</v>
      </c>
      <c r="G16" s="150"/>
      <c r="H16" s="156"/>
      <c r="I16" s="157" t="s">
        <v>172</v>
      </c>
      <c r="J16" s="157" t="s">
        <v>173</v>
      </c>
      <c r="K16" s="157" t="s">
        <v>174</v>
      </c>
      <c r="L16" s="157" t="s">
        <v>175</v>
      </c>
      <c r="M16" s="158" t="s">
        <v>371</v>
      </c>
      <c r="N16" s="150"/>
    </row>
    <row r="17">
      <c r="A17" s="28"/>
      <c r="B17" s="159" t="s">
        <v>176</v>
      </c>
      <c r="C17" s="165" t="s">
        <v>703</v>
      </c>
      <c r="D17" s="165">
        <v>130.0</v>
      </c>
      <c r="E17" s="162">
        <v>287.3</v>
      </c>
      <c r="F17" s="162" t="s">
        <v>786</v>
      </c>
      <c r="G17" s="163"/>
      <c r="H17" s="164"/>
      <c r="I17" s="159" t="s">
        <v>176</v>
      </c>
      <c r="J17" s="160" t="s">
        <v>693</v>
      </c>
      <c r="K17" s="160" t="s">
        <v>787</v>
      </c>
      <c r="L17" s="161" t="s">
        <v>788</v>
      </c>
      <c r="M17" s="162" t="s">
        <v>222</v>
      </c>
      <c r="N17" s="163"/>
    </row>
    <row r="18">
      <c r="A18" s="28"/>
      <c r="B18" s="166" t="s">
        <v>183</v>
      </c>
      <c r="C18" s="171" t="s">
        <v>526</v>
      </c>
      <c r="D18" s="171">
        <v>100.0</v>
      </c>
      <c r="E18" s="169">
        <v>296.0</v>
      </c>
      <c r="F18" s="169" t="s">
        <v>789</v>
      </c>
      <c r="G18" s="170"/>
      <c r="H18" s="164"/>
      <c r="I18" s="166" t="s">
        <v>183</v>
      </c>
      <c r="J18" s="167" t="s">
        <v>378</v>
      </c>
      <c r="K18" s="167" t="s">
        <v>511</v>
      </c>
      <c r="L18" s="168" t="s">
        <v>790</v>
      </c>
      <c r="M18" s="172"/>
      <c r="N18" s="170"/>
    </row>
    <row r="19">
      <c r="A19" s="28"/>
      <c r="B19" s="173" t="s">
        <v>190</v>
      </c>
      <c r="C19" s="171" t="s">
        <v>649</v>
      </c>
      <c r="D19" s="171">
        <v>129.0</v>
      </c>
      <c r="E19" s="169">
        <v>19.4</v>
      </c>
      <c r="F19" s="172"/>
      <c r="G19" s="170"/>
      <c r="H19" s="164"/>
      <c r="I19" s="173" t="s">
        <v>190</v>
      </c>
      <c r="J19" s="167" t="s">
        <v>382</v>
      </c>
      <c r="K19" s="167" t="s">
        <v>384</v>
      </c>
      <c r="L19" s="168">
        <v>101.0</v>
      </c>
      <c r="M19" s="172"/>
      <c r="N19" s="170"/>
    </row>
    <row r="20">
      <c r="A20" s="28"/>
      <c r="B20" s="174"/>
      <c r="C20" s="176"/>
      <c r="D20" s="176"/>
      <c r="E20" s="176"/>
      <c r="F20" s="176"/>
      <c r="G20" s="176"/>
      <c r="H20" s="164"/>
      <c r="I20" s="174"/>
      <c r="J20" s="175"/>
      <c r="K20" s="175"/>
      <c r="L20" s="175"/>
      <c r="M20" s="176"/>
      <c r="N20" s="176"/>
    </row>
    <row r="21">
      <c r="A21" s="28"/>
      <c r="B21" s="177" t="s">
        <v>196</v>
      </c>
      <c r="C21" s="171" t="s">
        <v>632</v>
      </c>
      <c r="D21" s="171">
        <v>116.0</v>
      </c>
      <c r="E21" s="169">
        <v>335.2</v>
      </c>
      <c r="F21" s="172"/>
      <c r="G21" s="170"/>
      <c r="H21" s="164"/>
      <c r="I21" s="177" t="s">
        <v>196</v>
      </c>
      <c r="J21" s="167" t="s">
        <v>621</v>
      </c>
      <c r="K21" s="167" t="s">
        <v>791</v>
      </c>
      <c r="L21" s="168" t="s">
        <v>792</v>
      </c>
      <c r="M21" s="169" t="s">
        <v>793</v>
      </c>
      <c r="N21" s="170"/>
    </row>
    <row r="22">
      <c r="A22" s="28"/>
      <c r="B22" s="178" t="s">
        <v>203</v>
      </c>
      <c r="C22" s="171" t="s">
        <v>794</v>
      </c>
      <c r="D22" s="171">
        <v>100.0</v>
      </c>
      <c r="E22" s="169">
        <v>311.0</v>
      </c>
      <c r="F22" s="172"/>
      <c r="G22" s="170"/>
      <c r="H22" s="164"/>
      <c r="I22" s="178" t="s">
        <v>203</v>
      </c>
      <c r="J22" s="167" t="s">
        <v>184</v>
      </c>
      <c r="K22" s="167" t="s">
        <v>795</v>
      </c>
      <c r="L22" s="168" t="s">
        <v>796</v>
      </c>
      <c r="M22" s="172"/>
      <c r="N22" s="170"/>
    </row>
    <row r="23">
      <c r="A23" s="28"/>
      <c r="B23" s="177" t="s">
        <v>211</v>
      </c>
      <c r="C23" s="171" t="s">
        <v>797</v>
      </c>
      <c r="D23" s="171">
        <v>115.0</v>
      </c>
      <c r="E23" s="169">
        <v>65.5</v>
      </c>
      <c r="F23" s="172"/>
      <c r="G23" s="170"/>
      <c r="H23" s="164"/>
      <c r="I23" s="177" t="s">
        <v>211</v>
      </c>
      <c r="J23" s="167" t="s">
        <v>382</v>
      </c>
      <c r="K23" s="167" t="s">
        <v>384</v>
      </c>
      <c r="L23" s="168">
        <v>101.0</v>
      </c>
      <c r="M23" s="172"/>
      <c r="N23" s="170"/>
    </row>
    <row r="24">
      <c r="A24" s="28"/>
      <c r="B24" s="174"/>
      <c r="C24" s="176"/>
      <c r="D24" s="176"/>
      <c r="E24" s="176"/>
      <c r="F24" s="176"/>
      <c r="G24" s="176"/>
      <c r="H24" s="164"/>
      <c r="I24" s="174"/>
      <c r="J24" s="175"/>
      <c r="K24" s="175"/>
      <c r="L24" s="175"/>
      <c r="M24" s="176"/>
      <c r="N24" s="176"/>
    </row>
    <row r="25">
      <c r="A25" s="28"/>
      <c r="B25" s="179" t="s">
        <v>216</v>
      </c>
      <c r="C25" s="171" t="s">
        <v>798</v>
      </c>
      <c r="D25" s="171">
        <v>101.0</v>
      </c>
      <c r="E25" s="169">
        <v>286.8</v>
      </c>
      <c r="F25" s="169" t="s">
        <v>799</v>
      </c>
      <c r="G25" s="170"/>
      <c r="H25" s="164"/>
      <c r="I25" s="179" t="s">
        <v>216</v>
      </c>
      <c r="J25" s="167" t="s">
        <v>703</v>
      </c>
      <c r="K25" s="167" t="s">
        <v>739</v>
      </c>
      <c r="L25" s="168" t="s">
        <v>800</v>
      </c>
      <c r="M25" s="172"/>
      <c r="N25" s="170"/>
    </row>
    <row r="26">
      <c r="A26" s="28"/>
      <c r="B26" s="180" t="s">
        <v>223</v>
      </c>
      <c r="C26" s="171" t="s">
        <v>399</v>
      </c>
      <c r="D26" s="171">
        <v>100.0</v>
      </c>
      <c r="E26" s="169">
        <v>97.0</v>
      </c>
      <c r="F26" s="172"/>
      <c r="G26" s="170"/>
      <c r="H26" s="164"/>
      <c r="I26" s="180" t="s">
        <v>223</v>
      </c>
      <c r="J26" s="167" t="s">
        <v>801</v>
      </c>
      <c r="K26" s="167" t="s">
        <v>802</v>
      </c>
      <c r="L26" s="168" t="s">
        <v>803</v>
      </c>
      <c r="M26" s="172"/>
      <c r="N26" s="170"/>
    </row>
    <row r="27">
      <c r="A27" s="28"/>
      <c r="B27" s="179" t="s">
        <v>229</v>
      </c>
      <c r="C27" s="171" t="s">
        <v>804</v>
      </c>
      <c r="D27" s="171">
        <v>100.0</v>
      </c>
      <c r="E27" s="169">
        <v>23.0</v>
      </c>
      <c r="F27" s="172"/>
      <c r="G27" s="170"/>
      <c r="H27" s="164"/>
      <c r="I27" s="179" t="s">
        <v>229</v>
      </c>
      <c r="J27" s="167" t="s">
        <v>456</v>
      </c>
      <c r="K27" s="167" t="s">
        <v>384</v>
      </c>
      <c r="L27" s="168">
        <v>63.0</v>
      </c>
      <c r="M27" s="169" t="s">
        <v>805</v>
      </c>
      <c r="N27" s="170"/>
    </row>
    <row r="28">
      <c r="A28" s="28"/>
      <c r="B28" s="174"/>
      <c r="C28" s="176"/>
      <c r="D28" s="176"/>
      <c r="E28" s="176"/>
      <c r="F28" s="176"/>
      <c r="G28" s="176"/>
      <c r="H28" s="164"/>
      <c r="I28" s="174"/>
      <c r="J28" s="175"/>
      <c r="K28" s="175"/>
      <c r="L28" s="175"/>
      <c r="M28" s="176"/>
      <c r="N28" s="176"/>
    </row>
    <row r="29">
      <c r="A29" s="28"/>
      <c r="B29" s="181" t="s">
        <v>234</v>
      </c>
      <c r="C29" s="171" t="s">
        <v>478</v>
      </c>
      <c r="D29" s="171">
        <v>187.0</v>
      </c>
      <c r="E29" s="169">
        <v>274.9</v>
      </c>
      <c r="F29" s="169" t="s">
        <v>806</v>
      </c>
      <c r="G29" s="170"/>
      <c r="H29" s="164"/>
      <c r="I29" s="181" t="s">
        <v>234</v>
      </c>
      <c r="J29" s="167" t="s">
        <v>807</v>
      </c>
      <c r="K29" s="167" t="s">
        <v>552</v>
      </c>
      <c r="L29" s="168" t="s">
        <v>808</v>
      </c>
      <c r="M29" s="172"/>
      <c r="N29" s="170"/>
    </row>
    <row r="30">
      <c r="A30" s="28"/>
      <c r="F30" s="28"/>
      <c r="G30" s="28"/>
    </row>
    <row r="31" ht="27.0" customHeight="1">
      <c r="A31" s="142"/>
      <c r="B31" s="182" t="s">
        <v>241</v>
      </c>
      <c r="C31" s="183"/>
      <c r="D31" s="183"/>
      <c r="E31" s="183"/>
      <c r="F31" s="183"/>
      <c r="G31" s="183"/>
      <c r="H31" s="183"/>
      <c r="I31" s="183"/>
      <c r="J31" s="183"/>
      <c r="K31" s="183"/>
      <c r="L31" s="183"/>
      <c r="M31" s="183"/>
      <c r="N31" s="184"/>
      <c r="O31" s="146"/>
      <c r="P31" s="146"/>
      <c r="Q31" s="146"/>
      <c r="R31" s="146"/>
      <c r="S31" s="146"/>
      <c r="T31" s="146"/>
      <c r="U31" s="146"/>
      <c r="V31" s="146"/>
      <c r="W31" s="146"/>
      <c r="X31" s="146"/>
      <c r="Y31" s="146"/>
      <c r="Z31" s="146"/>
    </row>
    <row r="32" ht="23.25" customHeight="1">
      <c r="A32" s="147"/>
      <c r="B32" s="237" t="s">
        <v>408</v>
      </c>
      <c r="C32" s="235"/>
      <c r="D32" s="235"/>
      <c r="E32" s="235"/>
      <c r="F32" s="235"/>
      <c r="G32" s="236"/>
      <c r="H32" s="185"/>
      <c r="I32" s="152" t="s">
        <v>242</v>
      </c>
      <c r="J32" s="149"/>
      <c r="K32" s="149"/>
      <c r="L32" s="149"/>
      <c r="M32" s="149"/>
      <c r="N32" s="150"/>
      <c r="O32" s="153"/>
      <c r="P32" s="153"/>
      <c r="Q32" s="153"/>
      <c r="R32" s="153"/>
      <c r="S32" s="153"/>
      <c r="T32" s="153"/>
      <c r="U32" s="153"/>
      <c r="V32" s="153"/>
      <c r="W32" s="153"/>
      <c r="X32" s="153"/>
      <c r="Y32" s="153"/>
      <c r="Z32" s="153"/>
    </row>
    <row r="33">
      <c r="A33" s="28"/>
      <c r="B33" s="186" t="s">
        <v>172</v>
      </c>
      <c r="C33" s="186" t="s">
        <v>175</v>
      </c>
      <c r="D33" s="186" t="s">
        <v>243</v>
      </c>
      <c r="E33" s="187" t="s">
        <v>244</v>
      </c>
      <c r="F33" s="188" t="s">
        <v>245</v>
      </c>
      <c r="G33" s="235"/>
      <c r="H33" s="190"/>
      <c r="I33" s="157" t="s">
        <v>172</v>
      </c>
      <c r="J33" s="157" t="s">
        <v>175</v>
      </c>
      <c r="K33" s="157" t="s">
        <v>243</v>
      </c>
      <c r="L33" s="157" t="s">
        <v>244</v>
      </c>
      <c r="M33" s="191" t="s">
        <v>245</v>
      </c>
      <c r="N33" s="150"/>
    </row>
    <row r="34">
      <c r="A34" s="28"/>
      <c r="B34" s="193" t="s">
        <v>246</v>
      </c>
      <c r="C34" s="194" t="s">
        <v>809</v>
      </c>
      <c r="D34" s="366" t="s">
        <v>410</v>
      </c>
      <c r="E34" s="367" t="s">
        <v>248</v>
      </c>
      <c r="F34" s="197">
        <v>0.302</v>
      </c>
      <c r="G34" s="198"/>
      <c r="H34" s="164"/>
      <c r="I34" s="199" t="s">
        <v>246</v>
      </c>
      <c r="J34" s="412">
        <v>499.7</v>
      </c>
      <c r="K34" s="402" t="s">
        <v>410</v>
      </c>
      <c r="L34" s="202" t="s">
        <v>248</v>
      </c>
      <c r="M34" s="203">
        <f t="shared" ref="M34:M37" si="1">J34/sum($J$34:$J$37)</f>
        <v>0.2406221409</v>
      </c>
      <c r="N34" s="203"/>
    </row>
    <row r="35">
      <c r="A35" s="28"/>
      <c r="B35" s="204" t="s">
        <v>249</v>
      </c>
      <c r="C35" s="205" t="s">
        <v>810</v>
      </c>
      <c r="D35" s="369" t="s">
        <v>412</v>
      </c>
      <c r="E35" s="212" t="s">
        <v>248</v>
      </c>
      <c r="F35" s="208">
        <v>0.357</v>
      </c>
      <c r="G35" s="209"/>
      <c r="H35" s="164"/>
      <c r="I35" s="204" t="s">
        <v>249</v>
      </c>
      <c r="J35" s="413">
        <v>698.3</v>
      </c>
      <c r="K35" s="369" t="s">
        <v>412</v>
      </c>
      <c r="L35" s="212" t="s">
        <v>248</v>
      </c>
      <c r="M35" s="213">
        <f t="shared" si="1"/>
        <v>0.3362546348</v>
      </c>
      <c r="N35" s="213"/>
    </row>
    <row r="36">
      <c r="A36" s="28"/>
      <c r="B36" s="214" t="s">
        <v>251</v>
      </c>
      <c r="C36" s="215" t="s">
        <v>811</v>
      </c>
      <c r="D36" s="370" t="s">
        <v>414</v>
      </c>
      <c r="E36" s="222" t="s">
        <v>248</v>
      </c>
      <c r="F36" s="218">
        <v>0.204</v>
      </c>
      <c r="G36" s="219"/>
      <c r="H36" s="164"/>
      <c r="I36" s="214" t="s">
        <v>251</v>
      </c>
      <c r="J36" s="414">
        <v>605.4</v>
      </c>
      <c r="K36" s="370" t="s">
        <v>414</v>
      </c>
      <c r="L36" s="222" t="s">
        <v>248</v>
      </c>
      <c r="M36" s="223">
        <f t="shared" si="1"/>
        <v>0.2915202003</v>
      </c>
      <c r="N36" s="223"/>
    </row>
    <row r="37">
      <c r="A37" s="28"/>
      <c r="B37" s="224" t="s">
        <v>253</v>
      </c>
      <c r="C37" s="225" t="s">
        <v>812</v>
      </c>
      <c r="D37" s="371" t="s">
        <v>416</v>
      </c>
      <c r="E37" s="232" t="s">
        <v>248</v>
      </c>
      <c r="F37" s="228">
        <v>0.138</v>
      </c>
      <c r="G37" s="229"/>
      <c r="H37" s="164"/>
      <c r="I37" s="224" t="s">
        <v>253</v>
      </c>
      <c r="J37" s="415">
        <v>273.3</v>
      </c>
      <c r="K37" s="371" t="s">
        <v>416</v>
      </c>
      <c r="L37" s="232" t="s">
        <v>248</v>
      </c>
      <c r="M37" s="233">
        <f t="shared" si="1"/>
        <v>0.131603024</v>
      </c>
      <c r="N37" s="233"/>
    </row>
    <row r="38">
      <c r="A38" s="28"/>
      <c r="B38" s="28"/>
      <c r="C38" s="28"/>
      <c r="D38" s="28"/>
      <c r="E38" s="28"/>
      <c r="F38" s="28"/>
      <c r="G38" s="28"/>
    </row>
    <row r="39" ht="27.0" customHeight="1">
      <c r="A39" s="142"/>
      <c r="B39" s="234" t="s">
        <v>255</v>
      </c>
      <c r="C39" s="235"/>
      <c r="D39" s="235"/>
      <c r="E39" s="235"/>
      <c r="F39" s="235"/>
      <c r="G39" s="235"/>
      <c r="H39" s="235"/>
      <c r="I39" s="235"/>
      <c r="J39" s="235"/>
      <c r="K39" s="235"/>
      <c r="L39" s="235"/>
      <c r="M39" s="235"/>
      <c r="N39" s="236"/>
      <c r="O39" s="146"/>
      <c r="P39" s="146"/>
      <c r="Q39" s="146"/>
      <c r="R39" s="146"/>
      <c r="S39" s="146"/>
      <c r="T39" s="146"/>
      <c r="U39" s="146"/>
      <c r="V39" s="146"/>
      <c r="W39" s="146"/>
      <c r="X39" s="146"/>
      <c r="Y39" s="146"/>
      <c r="Z39" s="146"/>
    </row>
    <row r="40" ht="23.25" customHeight="1">
      <c r="A40" s="147"/>
      <c r="B40" s="237" t="s">
        <v>256</v>
      </c>
      <c r="C40" s="235"/>
      <c r="D40" s="235"/>
      <c r="E40" s="235"/>
      <c r="F40" s="235"/>
      <c r="G40" s="236"/>
      <c r="H40" s="185"/>
      <c r="I40" s="152" t="s">
        <v>257</v>
      </c>
      <c r="J40" s="149"/>
      <c r="K40" s="149"/>
      <c r="L40" s="149"/>
      <c r="M40" s="149"/>
      <c r="N40" s="150"/>
      <c r="O40" s="153"/>
      <c r="P40" s="153"/>
      <c r="Q40" s="153"/>
      <c r="R40" s="153"/>
      <c r="S40" s="153"/>
      <c r="T40" s="153"/>
      <c r="U40" s="153"/>
      <c r="V40" s="153"/>
      <c r="W40" s="153"/>
      <c r="X40" s="153"/>
      <c r="Y40" s="153"/>
      <c r="Z40" s="153"/>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385"/>
      <c r="B42" s="377" t="s">
        <v>262</v>
      </c>
      <c r="C42" s="243" t="s">
        <v>443</v>
      </c>
      <c r="D42" s="243">
        <v>1996.17</v>
      </c>
      <c r="E42" s="246">
        <v>1.0</v>
      </c>
      <c r="F42" s="386"/>
      <c r="G42" s="235"/>
      <c r="H42" s="387"/>
      <c r="I42" s="377" t="s">
        <v>262</v>
      </c>
      <c r="J42" s="243" t="s">
        <v>443</v>
      </c>
      <c r="K42" s="243">
        <v>2076.7</v>
      </c>
      <c r="L42" s="246">
        <v>1.0</v>
      </c>
      <c r="M42" s="386"/>
      <c r="N42" s="235"/>
      <c r="O42" s="388"/>
      <c r="P42" s="388"/>
      <c r="Q42" s="388"/>
      <c r="R42" s="388"/>
      <c r="S42" s="388"/>
      <c r="T42" s="388"/>
      <c r="U42" s="388"/>
      <c r="V42" s="388"/>
      <c r="W42" s="388"/>
      <c r="X42" s="388"/>
      <c r="Y42" s="388"/>
      <c r="Z42" s="388"/>
    </row>
    <row r="43">
      <c r="A43" s="385"/>
      <c r="B43" s="377" t="s">
        <v>158</v>
      </c>
      <c r="C43" s="243" t="s">
        <v>782</v>
      </c>
      <c r="D43" s="243">
        <v>96.02</v>
      </c>
      <c r="E43" s="246">
        <v>1.07</v>
      </c>
      <c r="F43" s="386"/>
      <c r="G43" s="235"/>
      <c r="H43" s="387"/>
      <c r="I43" s="377" t="s">
        <v>158</v>
      </c>
      <c r="J43" s="243" t="s">
        <v>782</v>
      </c>
      <c r="K43" s="243">
        <v>71.9</v>
      </c>
      <c r="L43" s="246">
        <v>0.961</v>
      </c>
      <c r="M43" s="386"/>
      <c r="N43" s="235"/>
      <c r="O43" s="388"/>
      <c r="P43" s="388"/>
      <c r="Q43" s="388"/>
      <c r="R43" s="388"/>
      <c r="S43" s="388"/>
      <c r="T43" s="388"/>
      <c r="U43" s="388"/>
      <c r="V43" s="388"/>
      <c r="W43" s="388"/>
      <c r="X43" s="388"/>
      <c r="Y43" s="388"/>
      <c r="Z43" s="388"/>
    </row>
    <row r="44">
      <c r="A44" s="385"/>
      <c r="B44" s="377" t="s">
        <v>263</v>
      </c>
      <c r="C44" s="243" t="s">
        <v>783</v>
      </c>
      <c r="D44" s="243">
        <v>60.1</v>
      </c>
      <c r="E44" s="246">
        <v>1.0</v>
      </c>
      <c r="F44" s="386"/>
      <c r="G44" s="235"/>
      <c r="H44" s="387"/>
      <c r="I44" s="377" t="s">
        <v>263</v>
      </c>
      <c r="J44" s="243" t="s">
        <v>783</v>
      </c>
      <c r="K44" s="243">
        <v>60.5</v>
      </c>
      <c r="L44" s="246">
        <v>1.0</v>
      </c>
      <c r="M44" s="386"/>
      <c r="N44" s="235"/>
      <c r="O44" s="388"/>
      <c r="P44" s="388"/>
      <c r="Q44" s="388"/>
      <c r="R44" s="388"/>
      <c r="S44" s="388"/>
      <c r="T44" s="388"/>
      <c r="U44" s="388"/>
      <c r="V44" s="388"/>
      <c r="W44" s="388"/>
      <c r="X44" s="388"/>
      <c r="Y44" s="388"/>
      <c r="Z44" s="388"/>
    </row>
    <row r="45">
      <c r="A45" s="385"/>
      <c r="B45" s="377" t="s">
        <v>264</v>
      </c>
      <c r="C45" s="243" t="s">
        <v>785</v>
      </c>
      <c r="D45" s="243">
        <v>273.97</v>
      </c>
      <c r="E45" s="246">
        <v>1.0</v>
      </c>
      <c r="F45" s="386"/>
      <c r="G45" s="235"/>
      <c r="H45" s="387"/>
      <c r="I45" s="377" t="s">
        <v>264</v>
      </c>
      <c r="J45" s="243" t="s">
        <v>785</v>
      </c>
      <c r="K45" s="243">
        <v>320.1</v>
      </c>
      <c r="L45" s="246">
        <f>K45/274.3</f>
        <v>1.16697047</v>
      </c>
      <c r="M45" s="386"/>
      <c r="N45" s="235"/>
      <c r="O45" s="388"/>
      <c r="P45" s="388"/>
      <c r="Q45" s="388"/>
      <c r="R45" s="388"/>
      <c r="S45" s="388"/>
      <c r="T45" s="388"/>
      <c r="U45" s="388"/>
      <c r="V45" s="388"/>
      <c r="W45" s="388"/>
      <c r="X45" s="388"/>
      <c r="Y45" s="388"/>
      <c r="Z45" s="388"/>
    </row>
    <row r="46">
      <c r="A46" s="385"/>
      <c r="B46" s="377" t="s">
        <v>265</v>
      </c>
      <c r="C46" s="243" t="s">
        <v>417</v>
      </c>
      <c r="D46" s="243">
        <v>1559.34</v>
      </c>
      <c r="E46" s="246">
        <v>1.0</v>
      </c>
      <c r="F46" s="386"/>
      <c r="G46" s="235"/>
      <c r="H46" s="387"/>
      <c r="I46" s="377" t="s">
        <v>265</v>
      </c>
      <c r="J46" s="243" t="s">
        <v>417</v>
      </c>
      <c r="K46" s="243">
        <v>2300.4</v>
      </c>
      <c r="L46" s="246">
        <v>1.0</v>
      </c>
      <c r="M46" s="386"/>
      <c r="N46" s="235"/>
      <c r="O46" s="388"/>
      <c r="P46" s="388"/>
      <c r="Q46" s="388"/>
      <c r="R46" s="388"/>
      <c r="S46" s="388"/>
      <c r="T46" s="388"/>
      <c r="U46" s="388"/>
      <c r="V46" s="388"/>
      <c r="W46" s="388"/>
      <c r="X46" s="388"/>
      <c r="Y46" s="388"/>
      <c r="Z46" s="388"/>
    </row>
    <row r="47">
      <c r="A47" s="385"/>
      <c r="B47" s="377" t="s">
        <v>267</v>
      </c>
      <c r="C47" s="243" t="s">
        <v>714</v>
      </c>
      <c r="D47" s="243">
        <v>21.86</v>
      </c>
      <c r="E47" s="246">
        <v>1.0</v>
      </c>
      <c r="F47" s="386"/>
      <c r="G47" s="235"/>
      <c r="H47" s="387"/>
      <c r="I47" s="377" t="s">
        <v>267</v>
      </c>
      <c r="J47" s="243" t="s">
        <v>714</v>
      </c>
      <c r="K47" s="243">
        <v>10.2</v>
      </c>
      <c r="L47" s="246">
        <v>1.0</v>
      </c>
      <c r="M47" s="386"/>
      <c r="N47" s="235"/>
      <c r="O47" s="388"/>
      <c r="P47" s="388"/>
      <c r="Q47" s="388"/>
      <c r="R47" s="388"/>
      <c r="S47" s="388"/>
      <c r="T47" s="388"/>
      <c r="U47" s="388"/>
      <c r="V47" s="388"/>
      <c r="W47" s="388"/>
      <c r="X47" s="388"/>
      <c r="Y47" s="388"/>
      <c r="Z47" s="388"/>
    </row>
    <row r="48">
      <c r="A48" s="385"/>
      <c r="B48" s="377" t="s">
        <v>269</v>
      </c>
      <c r="C48" s="243" t="s">
        <v>488</v>
      </c>
      <c r="D48" s="243">
        <v>140.96</v>
      </c>
      <c r="E48" s="246">
        <v>1.0</v>
      </c>
      <c r="F48" s="386"/>
      <c r="G48" s="235"/>
      <c r="H48" s="387"/>
      <c r="I48" s="377" t="s">
        <v>269</v>
      </c>
      <c r="J48" s="243" t="s">
        <v>488</v>
      </c>
      <c r="K48" s="243">
        <v>54.5</v>
      </c>
      <c r="L48" s="246">
        <v>1.0</v>
      </c>
      <c r="M48" s="386"/>
      <c r="N48" s="235"/>
      <c r="O48" s="388"/>
      <c r="P48" s="388"/>
      <c r="Q48" s="388"/>
      <c r="R48" s="388"/>
      <c r="S48" s="388"/>
      <c r="T48" s="388"/>
      <c r="U48" s="388"/>
      <c r="V48" s="388"/>
      <c r="W48" s="388"/>
      <c r="X48" s="388"/>
      <c r="Y48" s="388"/>
      <c r="Z48" s="388"/>
    </row>
    <row r="49">
      <c r="A49" s="385"/>
      <c r="B49" s="377" t="s">
        <v>271</v>
      </c>
      <c r="C49" s="243" t="s">
        <v>717</v>
      </c>
      <c r="D49" s="243">
        <v>11.44</v>
      </c>
      <c r="E49" s="246">
        <v>1.0</v>
      </c>
      <c r="F49" s="386"/>
      <c r="G49" s="235"/>
      <c r="H49" s="387"/>
      <c r="I49" s="377" t="s">
        <v>271</v>
      </c>
      <c r="J49" s="243" t="s">
        <v>717</v>
      </c>
      <c r="K49" s="243">
        <v>9.8</v>
      </c>
      <c r="L49" s="246">
        <v>1.0</v>
      </c>
      <c r="M49" s="386"/>
      <c r="N49" s="235"/>
      <c r="O49" s="388"/>
      <c r="P49" s="388"/>
      <c r="Q49" s="388"/>
      <c r="R49" s="388"/>
      <c r="S49" s="388"/>
      <c r="T49" s="388"/>
      <c r="U49" s="388"/>
      <c r="V49" s="388"/>
      <c r="W49" s="388"/>
      <c r="X49" s="388"/>
      <c r="Y49" s="388"/>
      <c r="Z49" s="388"/>
    </row>
    <row r="50">
      <c r="A50" s="385"/>
      <c r="B50" s="377" t="s">
        <v>304</v>
      </c>
      <c r="C50" s="243" t="s">
        <v>490</v>
      </c>
      <c r="D50" s="243">
        <v>4702.76</v>
      </c>
      <c r="E50" s="246">
        <v>1.0</v>
      </c>
      <c r="F50" s="386"/>
      <c r="G50" s="235"/>
      <c r="H50" s="387"/>
      <c r="I50" s="377" t="s">
        <v>304</v>
      </c>
      <c r="J50" s="243" t="s">
        <v>490</v>
      </c>
      <c r="K50" s="243">
        <v>2183.1</v>
      </c>
      <c r="L50" s="246">
        <v>0.489</v>
      </c>
      <c r="M50" s="386"/>
      <c r="N50" s="235"/>
      <c r="O50" s="388"/>
      <c r="P50" s="388"/>
      <c r="Q50" s="388"/>
      <c r="R50" s="388"/>
      <c r="S50" s="388"/>
      <c r="T50" s="388"/>
      <c r="U50" s="388"/>
      <c r="V50" s="388"/>
      <c r="W50" s="388"/>
      <c r="X50" s="388"/>
      <c r="Y50" s="388"/>
      <c r="Z50" s="388"/>
    </row>
    <row r="51">
      <c r="A51" s="385"/>
      <c r="B51" s="377" t="s">
        <v>297</v>
      </c>
      <c r="C51" s="243" t="s">
        <v>491</v>
      </c>
      <c r="D51" s="243">
        <v>1081.21</v>
      </c>
      <c r="E51" s="246">
        <v>1.0</v>
      </c>
      <c r="F51" s="386"/>
      <c r="G51" s="235"/>
      <c r="H51" s="387"/>
      <c r="I51" s="377" t="s">
        <v>297</v>
      </c>
      <c r="J51" s="243" t="s">
        <v>491</v>
      </c>
      <c r="K51" s="243">
        <v>925.3</v>
      </c>
      <c r="L51" s="246">
        <v>1.0</v>
      </c>
      <c r="M51" s="386"/>
      <c r="N51" s="235"/>
      <c r="O51" s="388"/>
      <c r="P51" s="388"/>
      <c r="Q51" s="388"/>
      <c r="R51" s="388"/>
      <c r="S51" s="388"/>
      <c r="T51" s="388"/>
      <c r="U51" s="388"/>
      <c r="V51" s="388"/>
      <c r="W51" s="388"/>
      <c r="X51" s="388"/>
      <c r="Y51" s="388"/>
      <c r="Z51" s="388"/>
    </row>
    <row r="52">
      <c r="A52" s="385"/>
      <c r="B52" s="377" t="s">
        <v>492</v>
      </c>
      <c r="C52" s="243" t="s">
        <v>493</v>
      </c>
      <c r="D52" s="243">
        <v>487.88</v>
      </c>
      <c r="E52" s="246">
        <v>1.0</v>
      </c>
      <c r="F52" s="386"/>
      <c r="G52" s="235"/>
      <c r="H52" s="387"/>
      <c r="I52" s="377" t="s">
        <v>492</v>
      </c>
      <c r="J52" s="243" t="s">
        <v>493</v>
      </c>
      <c r="K52" s="243">
        <v>291.1</v>
      </c>
      <c r="L52" s="246">
        <v>1.0</v>
      </c>
      <c r="M52" s="386"/>
      <c r="N52" s="235"/>
      <c r="O52" s="388"/>
      <c r="P52" s="388"/>
      <c r="Q52" s="388"/>
      <c r="R52" s="388"/>
      <c r="S52" s="388"/>
      <c r="T52" s="388"/>
      <c r="U52" s="388"/>
      <c r="V52" s="388"/>
      <c r="W52" s="388"/>
      <c r="X52" s="388"/>
      <c r="Y52" s="388"/>
      <c r="Z52" s="388"/>
    </row>
    <row r="53">
      <c r="A53" s="385"/>
      <c r="B53" s="377" t="s">
        <v>313</v>
      </c>
      <c r="C53" s="243" t="s">
        <v>494</v>
      </c>
      <c r="D53" s="243">
        <v>34.95</v>
      </c>
      <c r="E53" s="246">
        <v>1.0</v>
      </c>
      <c r="F53" s="386"/>
      <c r="G53" s="235"/>
      <c r="H53" s="387"/>
      <c r="I53" s="377" t="s">
        <v>313</v>
      </c>
      <c r="J53" s="243" t="s">
        <v>494</v>
      </c>
      <c r="K53" s="243">
        <v>22.8</v>
      </c>
      <c r="L53" s="246">
        <v>0.76</v>
      </c>
      <c r="M53" s="386"/>
      <c r="N53" s="235"/>
      <c r="O53" s="388"/>
      <c r="P53" s="388"/>
      <c r="Q53" s="388"/>
      <c r="R53" s="388"/>
      <c r="S53" s="388"/>
      <c r="T53" s="388"/>
      <c r="U53" s="388"/>
      <c r="V53" s="388"/>
      <c r="W53" s="388"/>
      <c r="X53" s="388"/>
      <c r="Y53" s="388"/>
      <c r="Z53" s="388"/>
    </row>
    <row r="54">
      <c r="A54" s="385"/>
      <c r="B54" s="377" t="s">
        <v>559</v>
      </c>
      <c r="C54" s="243" t="s">
        <v>813</v>
      </c>
      <c r="D54" s="243">
        <v>0.27</v>
      </c>
      <c r="E54" s="246">
        <v>1.0</v>
      </c>
      <c r="F54" s="386"/>
      <c r="G54" s="235"/>
      <c r="H54" s="387"/>
      <c r="I54" s="377" t="s">
        <v>559</v>
      </c>
      <c r="J54" s="243" t="s">
        <v>813</v>
      </c>
      <c r="K54" s="243">
        <v>0.1</v>
      </c>
      <c r="L54" s="246">
        <v>1.0</v>
      </c>
      <c r="M54" s="386"/>
      <c r="N54" s="235"/>
      <c r="O54" s="388"/>
      <c r="P54" s="388"/>
      <c r="Q54" s="388"/>
      <c r="R54" s="388"/>
      <c r="S54" s="388"/>
      <c r="T54" s="388"/>
      <c r="U54" s="388"/>
      <c r="V54" s="388"/>
      <c r="W54" s="388"/>
      <c r="X54" s="388"/>
      <c r="Y54" s="388"/>
      <c r="Z54" s="388"/>
    </row>
    <row r="55">
      <c r="A55" s="28"/>
      <c r="B55" s="28"/>
      <c r="C55" s="28"/>
      <c r="D55" s="28"/>
      <c r="E55" s="28"/>
      <c r="F55" s="28"/>
      <c r="G55" s="28"/>
    </row>
    <row r="56" ht="27.0" customHeight="1">
      <c r="A56" s="142"/>
      <c r="B56" s="234" t="s">
        <v>273</v>
      </c>
      <c r="C56" s="235"/>
      <c r="D56" s="235"/>
      <c r="E56" s="235"/>
      <c r="F56" s="235"/>
      <c r="G56" s="235"/>
      <c r="H56" s="235"/>
      <c r="I56" s="235"/>
      <c r="J56" s="235"/>
      <c r="K56" s="235"/>
      <c r="L56" s="235"/>
      <c r="M56" s="235"/>
      <c r="N56" s="236"/>
      <c r="O56" s="146"/>
      <c r="P56" s="146"/>
      <c r="Q56" s="146"/>
      <c r="R56" s="146"/>
      <c r="S56" s="146"/>
      <c r="T56" s="146"/>
      <c r="U56" s="146"/>
      <c r="V56" s="146"/>
      <c r="W56" s="146"/>
      <c r="X56" s="146"/>
      <c r="Y56" s="146"/>
      <c r="Z56" s="146"/>
    </row>
    <row r="57" ht="23.25" customHeight="1">
      <c r="A57" s="147"/>
      <c r="B57" s="237" t="s">
        <v>274</v>
      </c>
      <c r="C57" s="235"/>
      <c r="D57" s="235"/>
      <c r="E57" s="235"/>
      <c r="F57" s="235"/>
      <c r="G57" s="236"/>
      <c r="H57" s="185"/>
      <c r="I57" s="152" t="s">
        <v>275</v>
      </c>
      <c r="J57" s="149"/>
      <c r="K57" s="149"/>
      <c r="L57" s="149"/>
      <c r="M57" s="149"/>
      <c r="N57" s="150"/>
      <c r="O57" s="153"/>
      <c r="P57" s="153"/>
      <c r="Q57" s="153"/>
      <c r="R57" s="153"/>
      <c r="S57" s="153"/>
      <c r="T57" s="153"/>
      <c r="U57" s="153"/>
      <c r="V57" s="153"/>
      <c r="W57" s="153"/>
      <c r="X57" s="153"/>
      <c r="Y57" s="153"/>
      <c r="Z57" s="153"/>
    </row>
    <row r="58">
      <c r="A58" s="28"/>
      <c r="B58" s="238" t="s">
        <v>258</v>
      </c>
      <c r="C58" s="238" t="s">
        <v>276</v>
      </c>
      <c r="D58" s="238" t="s">
        <v>260</v>
      </c>
      <c r="E58" s="376" t="s">
        <v>261</v>
      </c>
      <c r="F58" s="251" t="s">
        <v>244</v>
      </c>
      <c r="G58" s="252"/>
      <c r="H58" s="190"/>
      <c r="I58" s="239" t="s">
        <v>258</v>
      </c>
      <c r="J58" s="239" t="s">
        <v>276</v>
      </c>
      <c r="K58" s="239" t="s">
        <v>260</v>
      </c>
      <c r="L58" s="240" t="s">
        <v>261</v>
      </c>
      <c r="M58" s="241"/>
      <c r="N58" s="150"/>
    </row>
    <row r="59">
      <c r="A59" s="385"/>
      <c r="B59" s="377" t="s">
        <v>277</v>
      </c>
      <c r="C59" s="243" t="s">
        <v>814</v>
      </c>
      <c r="D59" s="243">
        <v>0.22</v>
      </c>
      <c r="E59" s="246">
        <v>0.3142857</v>
      </c>
      <c r="F59" s="391"/>
      <c r="G59" s="256"/>
      <c r="H59" s="387"/>
      <c r="I59" s="377" t="s">
        <v>277</v>
      </c>
      <c r="J59" s="243" t="s">
        <v>814</v>
      </c>
      <c r="K59" s="243">
        <v>0.0739</v>
      </c>
      <c r="L59" s="246">
        <v>0.106</v>
      </c>
      <c r="M59" s="391"/>
      <c r="N59" s="256"/>
      <c r="O59" s="388"/>
      <c r="P59" s="388"/>
      <c r="Q59" s="388"/>
      <c r="R59" s="388"/>
      <c r="S59" s="388"/>
      <c r="T59" s="388"/>
      <c r="U59" s="388"/>
      <c r="V59" s="388"/>
      <c r="W59" s="388"/>
      <c r="X59" s="388"/>
      <c r="Y59" s="388"/>
      <c r="Z59" s="388"/>
    </row>
    <row r="60">
      <c r="A60" s="385"/>
      <c r="B60" s="377" t="s">
        <v>280</v>
      </c>
      <c r="C60" s="243" t="s">
        <v>815</v>
      </c>
      <c r="D60" s="243">
        <v>69.75</v>
      </c>
      <c r="E60" s="246">
        <v>0.93</v>
      </c>
      <c r="F60" s="386"/>
      <c r="G60" s="235"/>
      <c r="H60" s="387"/>
      <c r="I60" s="377" t="s">
        <v>280</v>
      </c>
      <c r="J60" s="243" t="s">
        <v>815</v>
      </c>
      <c r="K60" s="243">
        <v>41.3</v>
      </c>
      <c r="L60" s="246">
        <v>0.551</v>
      </c>
      <c r="M60" s="386"/>
      <c r="N60" s="235"/>
      <c r="O60" s="388"/>
      <c r="P60" s="388"/>
      <c r="Q60" s="388"/>
      <c r="R60" s="388"/>
      <c r="S60" s="388"/>
      <c r="T60" s="388"/>
      <c r="U60" s="388"/>
      <c r="V60" s="388"/>
      <c r="W60" s="388"/>
      <c r="X60" s="388"/>
      <c r="Y60" s="388"/>
      <c r="Z60" s="388"/>
    </row>
    <row r="61">
      <c r="A61" s="385"/>
      <c r="B61" s="377" t="s">
        <v>282</v>
      </c>
      <c r="C61" s="243" t="s">
        <v>283</v>
      </c>
      <c r="D61" s="243">
        <v>0.0</v>
      </c>
      <c r="E61" s="246">
        <v>0.0</v>
      </c>
      <c r="F61" s="386"/>
      <c r="G61" s="235"/>
      <c r="H61" s="387"/>
      <c r="I61" s="377" t="s">
        <v>282</v>
      </c>
      <c r="J61" s="243" t="s">
        <v>283</v>
      </c>
      <c r="K61" s="243">
        <v>0.0</v>
      </c>
      <c r="L61" s="246">
        <v>0.0</v>
      </c>
      <c r="M61" s="386"/>
      <c r="N61" s="235"/>
      <c r="O61" s="388"/>
      <c r="P61" s="388"/>
      <c r="Q61" s="388"/>
      <c r="R61" s="388"/>
      <c r="S61" s="388"/>
      <c r="T61" s="388"/>
      <c r="U61" s="388"/>
      <c r="V61" s="388"/>
      <c r="W61" s="388"/>
      <c r="X61" s="388"/>
      <c r="Y61" s="388"/>
      <c r="Z61" s="388"/>
    </row>
    <row r="62">
      <c r="A62" s="385"/>
      <c r="B62" s="377" t="s">
        <v>284</v>
      </c>
      <c r="C62" s="243" t="s">
        <v>285</v>
      </c>
      <c r="D62" s="243">
        <v>12.85</v>
      </c>
      <c r="E62" s="246">
        <v>0.8566667</v>
      </c>
      <c r="F62" s="386"/>
      <c r="G62" s="235"/>
      <c r="H62" s="387"/>
      <c r="I62" s="377" t="s">
        <v>284</v>
      </c>
      <c r="J62" s="243" t="s">
        <v>285</v>
      </c>
      <c r="K62" s="243">
        <v>7.2</v>
      </c>
      <c r="L62" s="246">
        <v>0.478</v>
      </c>
      <c r="M62" s="386"/>
      <c r="N62" s="235"/>
      <c r="O62" s="388"/>
      <c r="P62" s="388"/>
      <c r="Q62" s="388"/>
      <c r="R62" s="388"/>
      <c r="S62" s="388"/>
      <c r="T62" s="388"/>
      <c r="U62" s="388"/>
      <c r="V62" s="388"/>
      <c r="W62" s="388"/>
      <c r="X62" s="388"/>
      <c r="Y62" s="388"/>
      <c r="Z62" s="388"/>
    </row>
    <row r="63">
      <c r="A63" s="385"/>
      <c r="B63" s="377" t="s">
        <v>286</v>
      </c>
      <c r="C63" s="243">
        <v>0.09</v>
      </c>
      <c r="D63" s="243">
        <v>0.09</v>
      </c>
      <c r="E63" s="246">
        <v>1.0</v>
      </c>
      <c r="F63" s="386"/>
      <c r="G63" s="235"/>
      <c r="H63" s="387"/>
      <c r="I63" s="377" t="s">
        <v>286</v>
      </c>
      <c r="J63" s="243">
        <v>0.09</v>
      </c>
      <c r="K63" s="243">
        <v>0.0075</v>
      </c>
      <c r="L63" s="246">
        <v>0.083</v>
      </c>
      <c r="M63" s="386"/>
      <c r="N63" s="235"/>
      <c r="O63" s="388"/>
      <c r="P63" s="388"/>
      <c r="Q63" s="388"/>
      <c r="R63" s="388"/>
      <c r="S63" s="388"/>
      <c r="T63" s="388"/>
      <c r="U63" s="388"/>
      <c r="V63" s="388"/>
      <c r="W63" s="388"/>
      <c r="X63" s="388"/>
      <c r="Y63" s="388"/>
      <c r="Z63" s="388"/>
    </row>
    <row r="64">
      <c r="A64" s="385"/>
      <c r="B64" s="377" t="s">
        <v>287</v>
      </c>
      <c r="C64" s="243">
        <v>1.1</v>
      </c>
      <c r="D64" s="243">
        <v>2.42</v>
      </c>
      <c r="E64" s="246">
        <v>1.0</v>
      </c>
      <c r="F64" s="386"/>
      <c r="G64" s="235"/>
      <c r="H64" s="387"/>
      <c r="I64" s="377" t="s">
        <v>287</v>
      </c>
      <c r="J64" s="243">
        <v>1.1</v>
      </c>
      <c r="K64" s="243">
        <v>2.5</v>
      </c>
      <c r="L64" s="246">
        <v>1.0</v>
      </c>
      <c r="M64" s="386"/>
      <c r="N64" s="235"/>
      <c r="O64" s="388"/>
      <c r="P64" s="388"/>
      <c r="Q64" s="388"/>
      <c r="R64" s="388"/>
      <c r="S64" s="388"/>
      <c r="T64" s="388"/>
      <c r="U64" s="388"/>
      <c r="V64" s="388"/>
      <c r="W64" s="388"/>
      <c r="X64" s="388"/>
      <c r="Y64" s="388"/>
      <c r="Z64" s="388"/>
    </row>
    <row r="65">
      <c r="A65" s="385"/>
      <c r="B65" s="377" t="s">
        <v>288</v>
      </c>
      <c r="C65" s="243">
        <v>1.1</v>
      </c>
      <c r="D65" s="243">
        <v>2.48</v>
      </c>
      <c r="E65" s="246">
        <v>1.0</v>
      </c>
      <c r="F65" s="386"/>
      <c r="G65" s="235"/>
      <c r="H65" s="387"/>
      <c r="I65" s="377" t="s">
        <v>288</v>
      </c>
      <c r="J65" s="243">
        <v>1.1</v>
      </c>
      <c r="K65" s="243">
        <v>2.0</v>
      </c>
      <c r="L65" s="246">
        <v>1.0</v>
      </c>
      <c r="M65" s="386"/>
      <c r="N65" s="235"/>
      <c r="O65" s="388"/>
      <c r="P65" s="388"/>
      <c r="Q65" s="388"/>
      <c r="R65" s="388"/>
      <c r="S65" s="388"/>
      <c r="T65" s="388"/>
      <c r="U65" s="388"/>
      <c r="V65" s="388"/>
      <c r="W65" s="388"/>
      <c r="X65" s="388"/>
      <c r="Y65" s="388"/>
      <c r="Z65" s="388"/>
    </row>
    <row r="66">
      <c r="A66" s="385"/>
      <c r="B66" s="377" t="s">
        <v>289</v>
      </c>
      <c r="C66" s="243" t="s">
        <v>718</v>
      </c>
      <c r="D66" s="243">
        <v>48.24</v>
      </c>
      <c r="E66" s="246">
        <v>1.3782857</v>
      </c>
      <c r="F66" s="386"/>
      <c r="G66" s="235"/>
      <c r="H66" s="387"/>
      <c r="I66" s="377" t="s">
        <v>289</v>
      </c>
      <c r="J66" s="243" t="s">
        <v>718</v>
      </c>
      <c r="K66" s="243">
        <v>27.6</v>
      </c>
      <c r="L66" s="246">
        <v>1.0</v>
      </c>
      <c r="M66" s="386"/>
      <c r="N66" s="235"/>
      <c r="O66" s="388"/>
      <c r="P66" s="388"/>
      <c r="Q66" s="388"/>
      <c r="R66" s="388"/>
      <c r="S66" s="388"/>
      <c r="T66" s="388"/>
      <c r="U66" s="388"/>
      <c r="V66" s="388"/>
      <c r="W66" s="388"/>
      <c r="X66" s="388"/>
      <c r="Y66" s="388"/>
      <c r="Z66" s="388"/>
    </row>
    <row r="67">
      <c r="A67" s="385"/>
      <c r="B67" s="377" t="s">
        <v>291</v>
      </c>
      <c r="C67" s="243">
        <v>5.0</v>
      </c>
      <c r="D67" s="243">
        <v>5.35</v>
      </c>
      <c r="E67" s="246">
        <v>1.0</v>
      </c>
      <c r="F67" s="386"/>
      <c r="G67" s="235"/>
      <c r="H67" s="387"/>
      <c r="I67" s="377" t="s">
        <v>291</v>
      </c>
      <c r="J67" s="243">
        <v>5.0</v>
      </c>
      <c r="K67" s="243">
        <v>2.6</v>
      </c>
      <c r="L67" s="246">
        <v>0.523</v>
      </c>
      <c r="M67" s="386"/>
      <c r="N67" s="235"/>
      <c r="O67" s="388"/>
      <c r="P67" s="388"/>
      <c r="Q67" s="388"/>
      <c r="R67" s="388"/>
      <c r="S67" s="388"/>
      <c r="T67" s="388"/>
      <c r="U67" s="388"/>
      <c r="V67" s="388"/>
      <c r="W67" s="388"/>
      <c r="X67" s="388"/>
      <c r="Y67" s="388"/>
      <c r="Z67" s="388"/>
    </row>
    <row r="68">
      <c r="A68" s="385"/>
      <c r="B68" s="377" t="s">
        <v>292</v>
      </c>
      <c r="C68" s="243" t="s">
        <v>816</v>
      </c>
      <c r="D68" s="243">
        <v>2.93</v>
      </c>
      <c r="E68" s="246">
        <v>1.0</v>
      </c>
      <c r="F68" s="386"/>
      <c r="G68" s="235"/>
      <c r="H68" s="387"/>
      <c r="I68" s="377" t="s">
        <v>292</v>
      </c>
      <c r="J68" s="243" t="s">
        <v>816</v>
      </c>
      <c r="K68" s="243">
        <v>1.6</v>
      </c>
      <c r="L68" s="246">
        <v>1.0</v>
      </c>
      <c r="M68" s="386"/>
      <c r="N68" s="235"/>
      <c r="O68" s="388"/>
      <c r="P68" s="388"/>
      <c r="Q68" s="388"/>
      <c r="R68" s="388"/>
      <c r="S68" s="388"/>
      <c r="T68" s="388"/>
      <c r="U68" s="388"/>
      <c r="V68" s="388"/>
      <c r="W68" s="388"/>
      <c r="X68" s="388"/>
      <c r="Y68" s="388"/>
      <c r="Z68" s="388"/>
    </row>
    <row r="69">
      <c r="A69" s="385"/>
      <c r="B69" s="377" t="s">
        <v>294</v>
      </c>
      <c r="C69" s="243" t="s">
        <v>719</v>
      </c>
      <c r="D69" s="243">
        <v>0.74</v>
      </c>
      <c r="E69" s="246">
        <v>1.0</v>
      </c>
      <c r="F69" s="386"/>
      <c r="G69" s="235"/>
      <c r="H69" s="387"/>
      <c r="I69" s="377" t="s">
        <v>294</v>
      </c>
      <c r="J69" s="243" t="s">
        <v>719</v>
      </c>
      <c r="K69" s="243">
        <v>0.5</v>
      </c>
      <c r="L69" s="246">
        <v>1.0</v>
      </c>
      <c r="M69" s="386"/>
      <c r="N69" s="235"/>
      <c r="O69" s="388"/>
      <c r="P69" s="388"/>
      <c r="Q69" s="388"/>
      <c r="R69" s="388"/>
      <c r="S69" s="388"/>
      <c r="T69" s="388"/>
      <c r="U69" s="388"/>
      <c r="V69" s="388"/>
      <c r="W69" s="388"/>
      <c r="X69" s="388"/>
      <c r="Y69" s="388"/>
      <c r="Z69" s="388"/>
    </row>
    <row r="70">
      <c r="A70" s="385"/>
      <c r="B70" s="377" t="s">
        <v>296</v>
      </c>
      <c r="C70" s="243">
        <v>0.0024</v>
      </c>
      <c r="D70" s="243">
        <v>0.01</v>
      </c>
      <c r="E70" s="246">
        <v>1.0</v>
      </c>
      <c r="F70" s="386"/>
      <c r="G70" s="235"/>
      <c r="H70" s="387"/>
      <c r="I70" s="377" t="s">
        <v>296</v>
      </c>
      <c r="J70" s="243">
        <v>0.0024</v>
      </c>
      <c r="K70" s="243">
        <v>0.0019</v>
      </c>
      <c r="L70" s="246">
        <v>0.792</v>
      </c>
      <c r="M70" s="386"/>
      <c r="N70" s="235"/>
      <c r="O70" s="388"/>
      <c r="P70" s="388"/>
      <c r="Q70" s="388"/>
      <c r="R70" s="388"/>
      <c r="S70" s="388"/>
      <c r="T70" s="388"/>
      <c r="U70" s="388"/>
      <c r="V70" s="388"/>
      <c r="W70" s="388"/>
      <c r="X70" s="388"/>
      <c r="Y70" s="388"/>
      <c r="Z70" s="388"/>
    </row>
    <row r="71">
      <c r="A71" s="385"/>
      <c r="B71" s="377" t="s">
        <v>299</v>
      </c>
      <c r="C71" s="243" t="s">
        <v>300</v>
      </c>
      <c r="D71" s="243">
        <v>24.21</v>
      </c>
      <c r="E71" s="246">
        <v>1.0</v>
      </c>
      <c r="F71" s="386"/>
      <c r="G71" s="235"/>
      <c r="H71" s="387"/>
      <c r="I71" s="377" t="s">
        <v>299</v>
      </c>
      <c r="J71" s="243" t="s">
        <v>300</v>
      </c>
      <c r="K71" s="243">
        <v>18.9</v>
      </c>
      <c r="L71" s="246">
        <v>1.0</v>
      </c>
      <c r="M71" s="386"/>
      <c r="N71" s="235"/>
      <c r="O71" s="388"/>
      <c r="P71" s="388"/>
      <c r="Q71" s="388"/>
      <c r="R71" s="388"/>
      <c r="S71" s="388"/>
      <c r="T71" s="388"/>
      <c r="U71" s="388"/>
      <c r="V71" s="388"/>
      <c r="W71" s="388"/>
      <c r="X71" s="388"/>
      <c r="Y71" s="388"/>
      <c r="Z71" s="388"/>
    </row>
    <row r="72">
      <c r="A72" s="385"/>
      <c r="B72" s="377" t="s">
        <v>302</v>
      </c>
      <c r="C72" s="243" t="s">
        <v>303</v>
      </c>
      <c r="D72" s="243">
        <v>1538.22</v>
      </c>
      <c r="E72" s="246">
        <v>1.0</v>
      </c>
      <c r="F72" s="386"/>
      <c r="G72" s="235"/>
      <c r="H72" s="387"/>
      <c r="I72" s="377" t="s">
        <v>302</v>
      </c>
      <c r="J72" s="243" t="s">
        <v>303</v>
      </c>
      <c r="K72" s="243">
        <v>1092.0</v>
      </c>
      <c r="L72" s="246">
        <v>1.0</v>
      </c>
      <c r="M72" s="386"/>
      <c r="N72" s="235"/>
      <c r="O72" s="388"/>
      <c r="P72" s="388"/>
      <c r="Q72" s="388"/>
      <c r="R72" s="388"/>
      <c r="S72" s="388"/>
      <c r="T72" s="388"/>
      <c r="U72" s="388"/>
      <c r="V72" s="388"/>
      <c r="W72" s="388"/>
      <c r="X72" s="388"/>
      <c r="Y72" s="388"/>
      <c r="Z72" s="388"/>
    </row>
    <row r="73">
      <c r="A73" s="385"/>
      <c r="B73" s="377" t="s">
        <v>305</v>
      </c>
      <c r="C73" s="243" t="s">
        <v>817</v>
      </c>
      <c r="D73" s="243">
        <v>8.3</v>
      </c>
      <c r="E73" s="246">
        <v>1.0</v>
      </c>
      <c r="F73" s="386"/>
      <c r="G73" s="235"/>
      <c r="H73" s="387"/>
      <c r="I73" s="377" t="s">
        <v>305</v>
      </c>
      <c r="J73" s="243" t="s">
        <v>817</v>
      </c>
      <c r="K73" s="243">
        <v>6.9</v>
      </c>
      <c r="L73" s="246">
        <v>0.865</v>
      </c>
      <c r="M73" s="386"/>
      <c r="N73" s="235"/>
      <c r="O73" s="388"/>
      <c r="P73" s="388"/>
      <c r="Q73" s="388"/>
      <c r="R73" s="388"/>
      <c r="S73" s="388"/>
      <c r="T73" s="388"/>
      <c r="U73" s="388"/>
      <c r="V73" s="388"/>
      <c r="W73" s="388"/>
      <c r="X73" s="388"/>
      <c r="Y73" s="388"/>
      <c r="Z73" s="388"/>
    </row>
    <row r="74">
      <c r="A74" s="385"/>
      <c r="B74" s="377" t="s">
        <v>307</v>
      </c>
      <c r="C74" s="243" t="s">
        <v>308</v>
      </c>
      <c r="D74" s="243">
        <v>1.22</v>
      </c>
      <c r="E74" s="246">
        <v>1.0</v>
      </c>
      <c r="F74" s="386"/>
      <c r="G74" s="235"/>
      <c r="H74" s="387"/>
      <c r="I74" s="377" t="s">
        <v>307</v>
      </c>
      <c r="J74" s="243" t="s">
        <v>308</v>
      </c>
      <c r="K74" s="243">
        <v>1.2</v>
      </c>
      <c r="L74" s="246">
        <v>1.0</v>
      </c>
      <c r="M74" s="386"/>
      <c r="N74" s="235"/>
      <c r="O74" s="388"/>
      <c r="P74" s="388"/>
      <c r="Q74" s="388"/>
      <c r="R74" s="388"/>
      <c r="S74" s="388"/>
      <c r="T74" s="388"/>
      <c r="U74" s="388"/>
      <c r="V74" s="388"/>
      <c r="W74" s="388"/>
      <c r="X74" s="388"/>
      <c r="Y74" s="388"/>
      <c r="Z74" s="388"/>
    </row>
    <row r="75">
      <c r="A75" s="385"/>
      <c r="B75" s="377" t="s">
        <v>309</v>
      </c>
      <c r="C75" s="243" t="s">
        <v>720</v>
      </c>
      <c r="D75" s="243">
        <v>3.05</v>
      </c>
      <c r="E75" s="246">
        <v>1.0</v>
      </c>
      <c r="F75" s="386"/>
      <c r="G75" s="235"/>
      <c r="H75" s="387"/>
      <c r="I75" s="377" t="s">
        <v>309</v>
      </c>
      <c r="J75" s="243" t="s">
        <v>720</v>
      </c>
      <c r="K75" s="243">
        <v>3.1</v>
      </c>
      <c r="L75" s="246">
        <v>1.0</v>
      </c>
      <c r="M75" s="386"/>
      <c r="N75" s="235"/>
      <c r="O75" s="388"/>
      <c r="P75" s="388"/>
      <c r="Q75" s="388"/>
      <c r="R75" s="388"/>
      <c r="S75" s="388"/>
      <c r="T75" s="388"/>
      <c r="U75" s="388"/>
      <c r="V75" s="388"/>
      <c r="W75" s="388"/>
      <c r="X75" s="388"/>
      <c r="Y75" s="388"/>
      <c r="Z75" s="388"/>
    </row>
    <row r="76">
      <c r="A76" s="385"/>
      <c r="B76" s="377" t="s">
        <v>311</v>
      </c>
      <c r="C76" s="243" t="s">
        <v>312</v>
      </c>
      <c r="D76" s="243">
        <v>0.08</v>
      </c>
      <c r="E76" s="246">
        <v>1.0</v>
      </c>
      <c r="F76" s="386"/>
      <c r="G76" s="235"/>
      <c r="H76" s="387"/>
      <c r="I76" s="377" t="s">
        <v>311</v>
      </c>
      <c r="J76" s="243" t="s">
        <v>312</v>
      </c>
      <c r="K76" s="243">
        <v>0.1</v>
      </c>
      <c r="L76" s="246">
        <v>1.0</v>
      </c>
      <c r="M76" s="386"/>
      <c r="N76" s="235"/>
      <c r="O76" s="388"/>
      <c r="P76" s="388"/>
      <c r="Q76" s="388"/>
      <c r="R76" s="388"/>
      <c r="S76" s="388"/>
      <c r="T76" s="388"/>
      <c r="U76" s="388"/>
      <c r="V76" s="388"/>
      <c r="W76" s="388"/>
      <c r="X76" s="388"/>
      <c r="Y76" s="388"/>
      <c r="Z76" s="388"/>
    </row>
    <row r="77">
      <c r="A77" s="385"/>
      <c r="B77" s="377" t="s">
        <v>167</v>
      </c>
      <c r="C77" s="243">
        <v>2700.0</v>
      </c>
      <c r="D77" s="243">
        <v>721.55</v>
      </c>
      <c r="E77" s="246">
        <v>0.2672407</v>
      </c>
      <c r="F77" s="386"/>
      <c r="G77" s="235"/>
      <c r="H77" s="387"/>
      <c r="I77" s="377" t="s">
        <v>167</v>
      </c>
      <c r="J77" s="243">
        <v>2700.0</v>
      </c>
      <c r="K77" s="243">
        <v>689.5</v>
      </c>
      <c r="L77" s="246">
        <v>0.255</v>
      </c>
      <c r="M77" s="386"/>
      <c r="N77" s="235"/>
      <c r="O77" s="388"/>
      <c r="P77" s="388"/>
      <c r="Q77" s="388"/>
      <c r="R77" s="388"/>
      <c r="S77" s="388"/>
      <c r="T77" s="388"/>
      <c r="U77" s="388"/>
      <c r="V77" s="388"/>
      <c r="W77" s="388"/>
      <c r="X77" s="388"/>
      <c r="Y77" s="388"/>
      <c r="Z77" s="388"/>
    </row>
    <row r="78">
      <c r="A78" s="28"/>
    </row>
    <row r="79" ht="27.0" customHeight="1">
      <c r="A79" s="142"/>
      <c r="B79" s="261" t="s">
        <v>314</v>
      </c>
      <c r="C79" s="262"/>
      <c r="D79" s="262"/>
      <c r="E79" s="262"/>
      <c r="F79" s="262"/>
      <c r="G79" s="262"/>
      <c r="H79" s="262"/>
      <c r="I79" s="262"/>
      <c r="J79" s="262"/>
      <c r="K79" s="262"/>
      <c r="L79" s="262"/>
      <c r="M79" s="262"/>
      <c r="N79" s="263"/>
      <c r="O79" s="146"/>
      <c r="P79" s="146"/>
      <c r="Q79" s="146"/>
      <c r="R79" s="146"/>
      <c r="S79" s="146"/>
      <c r="T79" s="146"/>
      <c r="U79" s="146"/>
      <c r="V79" s="146"/>
      <c r="W79" s="146"/>
      <c r="X79" s="146"/>
      <c r="Y79" s="146"/>
      <c r="Z79" s="146"/>
    </row>
    <row r="80">
      <c r="A80" s="28"/>
      <c r="B80" s="264" t="s">
        <v>315</v>
      </c>
      <c r="C80" s="262"/>
      <c r="D80" s="262"/>
      <c r="E80" s="262"/>
      <c r="F80" s="262"/>
      <c r="G80" s="262"/>
      <c r="H80" s="262"/>
      <c r="I80" s="262"/>
      <c r="J80" s="262"/>
      <c r="K80" s="262"/>
      <c r="L80" s="262"/>
      <c r="M80" s="262"/>
      <c r="N80" s="263"/>
    </row>
    <row r="81">
      <c r="A81" s="28"/>
      <c r="B81" s="265" t="s">
        <v>316</v>
      </c>
      <c r="C81" s="266" t="s">
        <v>317</v>
      </c>
      <c r="D81" s="266" t="s">
        <v>318</v>
      </c>
      <c r="E81" s="267" t="s">
        <v>319</v>
      </c>
      <c r="F81" s="268" t="s">
        <v>320</v>
      </c>
      <c r="G81" s="269" t="s">
        <v>321</v>
      </c>
      <c r="H81" s="164"/>
      <c r="I81" s="270" t="s">
        <v>316</v>
      </c>
      <c r="J81" s="271" t="s">
        <v>317</v>
      </c>
      <c r="K81" s="271" t="s">
        <v>318</v>
      </c>
      <c r="L81" s="272" t="s">
        <v>319</v>
      </c>
      <c r="M81" s="273" t="s">
        <v>322</v>
      </c>
      <c r="N81" s="274" t="s">
        <v>323</v>
      </c>
    </row>
    <row r="82">
      <c r="A82" s="28"/>
      <c r="B82" s="275" t="s">
        <v>94</v>
      </c>
      <c r="C82" s="276" t="s">
        <v>324</v>
      </c>
      <c r="D82" s="277" t="s">
        <v>325</v>
      </c>
      <c r="E82" s="278">
        <v>3.0</v>
      </c>
      <c r="F82" s="279" t="str">
        <f t="shared" ref="F82:F90" si="2">IF(ISBLANK(E82),"— Belum diisi",IF(E82=1,"Sangat Tidak Sesuai",IF(E82=2,"Tidak Sesuai",IF(E82=3,"Cukup Sesuai",IF(E82=4,"Sesuai",IF(E82=5,"Sangat Sesuai","—"))))))</f>
        <v>Cukup Sesuai</v>
      </c>
      <c r="G82" s="280" t="s">
        <v>818</v>
      </c>
      <c r="H82" s="164"/>
      <c r="I82" s="281" t="s">
        <v>94</v>
      </c>
      <c r="J82" s="282" t="s">
        <v>324</v>
      </c>
      <c r="K82" s="283" t="s">
        <v>325</v>
      </c>
      <c r="L82" s="278">
        <v>3.0</v>
      </c>
      <c r="M82" s="285" t="str">
        <f t="shared" ref="M82:M90" si="3">IF(ISBLANK(L82),"— Belum diisi",IF(L82=1,"Sangat Tidak Sesuai",IF(L82=2,"Tidak Sesuai",IF(L82=3,"Cukup Sesuai",IF(L82=4,"Sesuai",IF(L82=5,"Sangat Sesuai","—"))))))</f>
        <v>Cukup Sesuai</v>
      </c>
      <c r="N82" s="280" t="s">
        <v>818</v>
      </c>
    </row>
    <row r="83">
      <c r="A83" s="28"/>
      <c r="B83" s="275" t="s">
        <v>95</v>
      </c>
      <c r="C83" s="286" t="s">
        <v>327</v>
      </c>
      <c r="D83" s="287" t="s">
        <v>328</v>
      </c>
      <c r="E83" s="278">
        <v>3.0</v>
      </c>
      <c r="F83" s="288" t="str">
        <f t="shared" si="2"/>
        <v>Cukup Sesuai</v>
      </c>
      <c r="G83" s="297"/>
      <c r="H83" s="164"/>
      <c r="I83" s="281" t="s">
        <v>95</v>
      </c>
      <c r="J83" s="286" t="s">
        <v>327</v>
      </c>
      <c r="K83" s="287" t="s">
        <v>328</v>
      </c>
      <c r="L83" s="278">
        <v>3.0</v>
      </c>
      <c r="M83" s="288" t="str">
        <f t="shared" si="3"/>
        <v>Cukup Sesuai</v>
      </c>
      <c r="N83" s="297"/>
    </row>
    <row r="84">
      <c r="A84" s="28"/>
      <c r="B84" s="275" t="s">
        <v>96</v>
      </c>
      <c r="C84" s="276" t="s">
        <v>330</v>
      </c>
      <c r="D84" s="277" t="s">
        <v>331</v>
      </c>
      <c r="E84" s="278">
        <v>3.0</v>
      </c>
      <c r="F84" s="279" t="str">
        <f t="shared" si="2"/>
        <v>Cukup Sesuai</v>
      </c>
      <c r="G84" s="297"/>
      <c r="H84" s="164"/>
      <c r="I84" s="281" t="s">
        <v>96</v>
      </c>
      <c r="J84" s="282" t="s">
        <v>330</v>
      </c>
      <c r="K84" s="289" t="s">
        <v>331</v>
      </c>
      <c r="L84" s="278">
        <v>3.0</v>
      </c>
      <c r="M84" s="290" t="str">
        <f t="shared" si="3"/>
        <v>Cukup Sesuai</v>
      </c>
      <c r="N84" s="297"/>
    </row>
    <row r="85">
      <c r="A85" s="28"/>
      <c r="B85" s="275" t="s">
        <v>97</v>
      </c>
      <c r="C85" s="286" t="s">
        <v>334</v>
      </c>
      <c r="D85" s="287" t="s">
        <v>335</v>
      </c>
      <c r="E85" s="278">
        <v>3.0</v>
      </c>
      <c r="F85" s="288" t="str">
        <f t="shared" si="2"/>
        <v>Cukup Sesuai</v>
      </c>
      <c r="G85" s="297"/>
      <c r="H85" s="164"/>
      <c r="I85" s="281" t="s">
        <v>97</v>
      </c>
      <c r="J85" s="286" t="s">
        <v>334</v>
      </c>
      <c r="K85" s="287" t="s">
        <v>335</v>
      </c>
      <c r="L85" s="278">
        <v>3.0</v>
      </c>
      <c r="M85" s="288" t="str">
        <f t="shared" si="3"/>
        <v>Cukup Sesuai</v>
      </c>
      <c r="N85" s="297"/>
    </row>
    <row r="86">
      <c r="A86" s="28"/>
      <c r="B86" s="275" t="s">
        <v>98</v>
      </c>
      <c r="C86" s="276" t="s">
        <v>336</v>
      </c>
      <c r="D86" s="277" t="s">
        <v>337</v>
      </c>
      <c r="E86" s="278">
        <v>3.0</v>
      </c>
      <c r="F86" s="279" t="str">
        <f t="shared" si="2"/>
        <v>Cukup Sesuai</v>
      </c>
      <c r="G86" s="280" t="s">
        <v>819</v>
      </c>
      <c r="H86" s="164"/>
      <c r="I86" s="281" t="s">
        <v>98</v>
      </c>
      <c r="J86" s="282" t="s">
        <v>336</v>
      </c>
      <c r="K86" s="289" t="s">
        <v>337</v>
      </c>
      <c r="L86" s="278">
        <v>3.0</v>
      </c>
      <c r="M86" s="290" t="str">
        <f t="shared" si="3"/>
        <v>Cukup Sesuai</v>
      </c>
      <c r="N86" s="280" t="s">
        <v>820</v>
      </c>
    </row>
    <row r="87">
      <c r="A87" s="28"/>
      <c r="B87" s="291" t="s">
        <v>99</v>
      </c>
      <c r="C87" s="286" t="s">
        <v>339</v>
      </c>
      <c r="D87" s="287" t="s">
        <v>340</v>
      </c>
      <c r="E87" s="278">
        <v>3.0</v>
      </c>
      <c r="F87" s="288" t="str">
        <f t="shared" si="2"/>
        <v>Cukup Sesuai</v>
      </c>
      <c r="G87" s="278" t="s">
        <v>821</v>
      </c>
      <c r="H87" s="164"/>
      <c r="I87" s="292" t="s">
        <v>99</v>
      </c>
      <c r="J87" s="286" t="s">
        <v>339</v>
      </c>
      <c r="K87" s="287" t="s">
        <v>340</v>
      </c>
      <c r="L87" s="278">
        <v>3.0</v>
      </c>
      <c r="M87" s="288" t="str">
        <f t="shared" si="3"/>
        <v>Cukup Sesuai</v>
      </c>
      <c r="N87" s="280" t="s">
        <v>822</v>
      </c>
    </row>
    <row r="88">
      <c r="A88" s="28"/>
      <c r="B88" s="293" t="s">
        <v>100</v>
      </c>
      <c r="C88" s="276" t="s">
        <v>343</v>
      </c>
      <c r="D88" s="277" t="s">
        <v>344</v>
      </c>
      <c r="E88" s="278">
        <v>3.0</v>
      </c>
      <c r="F88" s="279" t="str">
        <f t="shared" si="2"/>
        <v>Cukup Sesuai</v>
      </c>
      <c r="G88" s="280" t="s">
        <v>345</v>
      </c>
      <c r="H88" s="164"/>
      <c r="I88" s="294" t="s">
        <v>100</v>
      </c>
      <c r="J88" s="282" t="s">
        <v>343</v>
      </c>
      <c r="K88" s="289" t="s">
        <v>344</v>
      </c>
      <c r="L88" s="278">
        <v>3.0</v>
      </c>
      <c r="M88" s="290" t="str">
        <f t="shared" si="3"/>
        <v>Cukup Sesuai</v>
      </c>
      <c r="N88" s="280" t="s">
        <v>345</v>
      </c>
    </row>
    <row r="89">
      <c r="A89" s="28"/>
      <c r="B89" s="295" t="s">
        <v>101</v>
      </c>
      <c r="C89" s="286" t="s">
        <v>346</v>
      </c>
      <c r="D89" s="287" t="s">
        <v>347</v>
      </c>
      <c r="E89" s="278">
        <v>3.0</v>
      </c>
      <c r="F89" s="288" t="str">
        <f t="shared" si="2"/>
        <v>Cukup Sesuai</v>
      </c>
      <c r="G89" s="280" t="s">
        <v>823</v>
      </c>
      <c r="H89" s="164"/>
      <c r="I89" s="296" t="s">
        <v>101</v>
      </c>
      <c r="J89" s="286" t="s">
        <v>346</v>
      </c>
      <c r="K89" s="287" t="s">
        <v>347</v>
      </c>
      <c r="L89" s="278">
        <v>4.0</v>
      </c>
      <c r="M89" s="288" t="str">
        <f t="shared" si="3"/>
        <v>Sesuai</v>
      </c>
      <c r="N89" s="297"/>
    </row>
    <row r="90">
      <c r="A90" s="28"/>
      <c r="B90" s="298" t="s">
        <v>102</v>
      </c>
      <c r="C90" s="276" t="s">
        <v>349</v>
      </c>
      <c r="D90" s="277" t="s">
        <v>350</v>
      </c>
      <c r="E90" s="278">
        <v>4.0</v>
      </c>
      <c r="F90" s="279" t="str">
        <f t="shared" si="2"/>
        <v>Sesuai</v>
      </c>
      <c r="G90" s="297"/>
      <c r="H90" s="164"/>
      <c r="I90" s="299" t="s">
        <v>102</v>
      </c>
      <c r="J90" s="282" t="s">
        <v>349</v>
      </c>
      <c r="K90" s="289" t="s">
        <v>350</v>
      </c>
      <c r="L90" s="278">
        <v>4.0</v>
      </c>
      <c r="M90" s="290" t="str">
        <f t="shared" si="3"/>
        <v>Sesuai</v>
      </c>
      <c r="N90" s="297"/>
    </row>
    <row r="91">
      <c r="A91" s="28"/>
      <c r="B91" s="300" t="s">
        <v>351</v>
      </c>
      <c r="C91" s="301"/>
      <c r="D91" s="27"/>
      <c r="E91" s="302">
        <f>IFERROR(AVERAGE(E82,E83,E84,E85,E86,E87,E88,E89,E90),"—")</f>
        <v>3.111111111</v>
      </c>
      <c r="F91" s="303" t="str">
        <f>IF(ISNUMBER(E91),IF(E91&lt;2,"Sangat Tidak Sesuai",IF(E91&lt;3,"Tidak Sesuai",IF(E91&lt;4,"Cukup Sesuai",IF(E91&lt;4.6,"Sesuai","Sangat Sesuai")))),"—")</f>
        <v>Cukup Sesuai</v>
      </c>
      <c r="G91" s="3"/>
      <c r="H91" s="164"/>
      <c r="I91" s="304" t="s">
        <v>351</v>
      </c>
      <c r="J91" s="301"/>
      <c r="K91" s="27"/>
      <c r="L91" s="294">
        <f>IFERROR(AVERAGE(L82,L83,L84,L85,L86,L87,L88,L89,L90),"—")</f>
        <v>3.222222222</v>
      </c>
      <c r="M91" s="305" t="str">
        <f>IF(ISNUMBER(L91),IF(L91&lt;2,"Sangat Tidak Sesuai",IF(L91&lt;3,"Tidak Sesuai",IF(L91&lt;4,"Cukup Sesuai",IF(L91&lt;4.6,"Sesuai","Sangat Sesuai")))),"—")</f>
        <v>Cukup Sesuai</v>
      </c>
      <c r="N91" s="3"/>
    </row>
    <row r="92">
      <c r="A92" s="28"/>
      <c r="B92" s="306"/>
    </row>
    <row r="93" ht="27.0" customHeight="1">
      <c r="A93" s="142"/>
      <c r="B93" s="307" t="s">
        <v>352</v>
      </c>
      <c r="C93" s="170"/>
      <c r="D93" s="170"/>
      <c r="E93" s="170"/>
      <c r="F93" s="170"/>
      <c r="G93" s="170"/>
      <c r="H93" s="170"/>
      <c r="I93" s="170"/>
      <c r="J93" s="170"/>
      <c r="K93" s="170"/>
      <c r="L93" s="170"/>
      <c r="M93" s="170"/>
      <c r="N93" s="308"/>
      <c r="O93" s="146"/>
      <c r="P93" s="146"/>
      <c r="Q93" s="146"/>
      <c r="R93" s="146"/>
      <c r="S93" s="146"/>
      <c r="T93" s="146"/>
      <c r="U93" s="146"/>
      <c r="V93" s="146"/>
      <c r="W93" s="146"/>
      <c r="X93" s="146"/>
      <c r="Y93" s="146"/>
      <c r="Z93" s="146"/>
    </row>
    <row r="94" ht="23.25" customHeight="1">
      <c r="A94" s="147"/>
      <c r="B94" s="309" t="s">
        <v>353</v>
      </c>
      <c r="C94" s="310"/>
      <c r="D94" s="310"/>
      <c r="E94" s="310"/>
      <c r="F94" s="310"/>
      <c r="G94" s="311"/>
      <c r="H94" s="312"/>
      <c r="I94" s="313" t="s">
        <v>354</v>
      </c>
      <c r="J94" s="30"/>
      <c r="K94" s="30"/>
      <c r="L94" s="30"/>
      <c r="M94" s="30"/>
      <c r="N94" s="3"/>
      <c r="O94" s="153"/>
      <c r="P94" s="153"/>
      <c r="Q94" s="153"/>
      <c r="R94" s="153"/>
      <c r="S94" s="153"/>
      <c r="T94" s="153"/>
      <c r="U94" s="153"/>
      <c r="V94" s="153"/>
      <c r="W94" s="153"/>
      <c r="X94" s="153"/>
      <c r="Y94" s="153"/>
      <c r="Z94" s="153"/>
    </row>
    <row r="95">
      <c r="A95" s="28"/>
      <c r="B95" s="314" t="s">
        <v>355</v>
      </c>
      <c r="C95" s="315"/>
      <c r="D95" s="315"/>
      <c r="E95" s="315"/>
      <c r="F95" s="315"/>
      <c r="G95" s="316"/>
      <c r="H95" s="260"/>
      <c r="I95" s="317" t="s">
        <v>355</v>
      </c>
      <c r="J95" s="30"/>
      <c r="K95" s="30"/>
      <c r="L95" s="30"/>
      <c r="M95" s="30"/>
      <c r="N95" s="3"/>
    </row>
    <row r="96">
      <c r="A96" s="28"/>
      <c r="B96" s="318" t="s">
        <v>356</v>
      </c>
      <c r="H96" s="260"/>
      <c r="I96" s="319" t="s">
        <v>356</v>
      </c>
      <c r="J96" s="30"/>
      <c r="K96" s="30"/>
      <c r="L96" s="30"/>
      <c r="M96" s="30"/>
      <c r="N96" s="3"/>
    </row>
    <row r="97">
      <c r="A97" s="28"/>
      <c r="B97" s="320" t="s">
        <v>824</v>
      </c>
      <c r="G97" s="321"/>
      <c r="H97" s="322"/>
      <c r="I97" s="323" t="s">
        <v>824</v>
      </c>
      <c r="J97" s="324"/>
      <c r="K97" s="324"/>
      <c r="L97" s="324"/>
      <c r="M97" s="324"/>
      <c r="N97" s="325"/>
    </row>
    <row r="98">
      <c r="A98" s="28"/>
      <c r="B98" s="326"/>
      <c r="G98" s="321"/>
      <c r="H98" s="322"/>
      <c r="I98" s="327"/>
      <c r="N98" s="328"/>
    </row>
    <row r="99">
      <c r="A99" s="28"/>
      <c r="B99" s="326"/>
      <c r="G99" s="321"/>
      <c r="H99" s="322"/>
      <c r="I99" s="327"/>
      <c r="N99" s="328"/>
    </row>
    <row r="100">
      <c r="A100" s="28"/>
      <c r="B100" s="329"/>
      <c r="C100" s="330"/>
      <c r="D100" s="330"/>
      <c r="E100" s="330"/>
      <c r="F100" s="330"/>
      <c r="G100" s="331"/>
      <c r="H100" s="322"/>
      <c r="I100" s="332"/>
      <c r="J100" s="333"/>
      <c r="K100" s="333"/>
      <c r="L100" s="333"/>
      <c r="M100" s="333"/>
      <c r="N100" s="334"/>
    </row>
    <row r="101">
      <c r="A101" s="28"/>
      <c r="B101" s="28"/>
      <c r="C101" s="28"/>
      <c r="D101" s="28"/>
      <c r="E101" s="28"/>
      <c r="F101" s="28"/>
      <c r="G101" s="28"/>
    </row>
    <row r="102">
      <c r="A102" s="28"/>
      <c r="B102" s="335" t="s">
        <v>358</v>
      </c>
      <c r="C102" s="144"/>
      <c r="D102" s="144"/>
      <c r="E102" s="144"/>
      <c r="F102" s="144"/>
      <c r="G102" s="145"/>
      <c r="H102" s="164"/>
      <c r="I102" s="336" t="s">
        <v>358</v>
      </c>
      <c r="J102" s="30"/>
      <c r="K102" s="30"/>
      <c r="L102" s="30"/>
      <c r="M102" s="30"/>
      <c r="N102" s="3"/>
    </row>
    <row r="103">
      <c r="A103" s="28"/>
      <c r="B103" s="337" t="s">
        <v>359</v>
      </c>
      <c r="H103" s="260"/>
      <c r="I103" s="338" t="s">
        <v>359</v>
      </c>
      <c r="J103" s="30"/>
      <c r="K103" s="30"/>
      <c r="L103" s="30"/>
      <c r="M103" s="30"/>
      <c r="N103" s="3"/>
    </row>
    <row r="104">
      <c r="A104" s="28"/>
      <c r="B104" s="339" t="s">
        <v>613</v>
      </c>
      <c r="G104" s="328"/>
      <c r="H104" s="340"/>
      <c r="I104" s="341" t="s">
        <v>613</v>
      </c>
      <c r="J104" s="324"/>
      <c r="K104" s="324"/>
      <c r="L104" s="324"/>
      <c r="M104" s="324"/>
      <c r="N104" s="325"/>
    </row>
    <row r="105">
      <c r="A105" s="28"/>
      <c r="B105" s="342"/>
      <c r="G105" s="328"/>
      <c r="H105" s="340"/>
      <c r="I105" s="327"/>
      <c r="N105" s="328"/>
    </row>
    <row r="106">
      <c r="A106" s="28"/>
      <c r="B106" s="342"/>
      <c r="G106" s="328"/>
      <c r="H106" s="340"/>
      <c r="I106" s="327"/>
      <c r="N106" s="328"/>
    </row>
    <row r="107">
      <c r="A107" s="28"/>
      <c r="B107" s="343"/>
      <c r="C107" s="163"/>
      <c r="D107" s="163"/>
      <c r="E107" s="163"/>
      <c r="F107" s="163"/>
      <c r="G107" s="344"/>
      <c r="H107" s="340"/>
      <c r="I107" s="332"/>
      <c r="J107" s="333"/>
      <c r="K107" s="333"/>
      <c r="L107" s="333"/>
      <c r="M107" s="333"/>
      <c r="N107" s="334"/>
    </row>
    <row r="108">
      <c r="A108" s="28"/>
    </row>
    <row r="109">
      <c r="A109" s="28"/>
      <c r="B109" s="345" t="s">
        <v>361</v>
      </c>
      <c r="C109" s="30"/>
      <c r="D109" s="30"/>
      <c r="E109" s="30"/>
      <c r="F109" s="30"/>
      <c r="G109" s="3"/>
      <c r="H109" s="164"/>
      <c r="I109" s="346" t="s">
        <v>361</v>
      </c>
      <c r="J109" s="30"/>
      <c r="K109" s="30"/>
      <c r="L109" s="30"/>
      <c r="M109" s="30"/>
      <c r="N109" s="3"/>
    </row>
    <row r="110">
      <c r="A110" s="28"/>
      <c r="B110" s="347" t="s">
        <v>362</v>
      </c>
      <c r="C110" s="30"/>
      <c r="D110" s="30"/>
      <c r="E110" s="30"/>
      <c r="F110" s="30"/>
      <c r="G110" s="3"/>
      <c r="H110" s="164"/>
      <c r="I110" s="348" t="s">
        <v>362</v>
      </c>
      <c r="J110" s="30"/>
      <c r="K110" s="30"/>
      <c r="L110" s="30"/>
      <c r="M110" s="30"/>
      <c r="N110" s="3"/>
    </row>
    <row r="111">
      <c r="A111" s="28"/>
      <c r="B111" s="349" t="s">
        <v>363</v>
      </c>
      <c r="C111" s="324"/>
      <c r="D111" s="324"/>
      <c r="E111" s="324"/>
      <c r="F111" s="324"/>
      <c r="G111" s="325"/>
      <c r="H111" s="340"/>
      <c r="I111" s="350" t="s">
        <v>363</v>
      </c>
      <c r="J111" s="324"/>
      <c r="K111" s="324"/>
      <c r="L111" s="324"/>
      <c r="M111" s="324"/>
      <c r="N111" s="325"/>
    </row>
    <row r="112">
      <c r="A112" s="28"/>
      <c r="B112" s="327"/>
      <c r="G112" s="328"/>
      <c r="H112" s="340"/>
      <c r="I112" s="327"/>
      <c r="N112" s="328"/>
    </row>
    <row r="113">
      <c r="A113" s="28"/>
      <c r="B113" s="327"/>
      <c r="G113" s="328"/>
      <c r="H113" s="340"/>
      <c r="I113" s="327"/>
      <c r="N113" s="328"/>
    </row>
    <row r="114">
      <c r="A114" s="28"/>
      <c r="B114" s="332"/>
      <c r="C114" s="333"/>
      <c r="D114" s="333"/>
      <c r="E114" s="333"/>
      <c r="F114" s="333"/>
      <c r="G114" s="334"/>
      <c r="H114" s="340"/>
      <c r="I114" s="332"/>
      <c r="J114" s="333"/>
      <c r="K114" s="333"/>
      <c r="L114" s="333"/>
      <c r="M114" s="333"/>
      <c r="N114" s="334"/>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sheetData>
  <mergeCells count="135">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8:G58"/>
    <mergeCell ref="F59:G59"/>
    <mergeCell ref="F60:G60"/>
    <mergeCell ref="F61:G61"/>
    <mergeCell ref="F62:G62"/>
    <mergeCell ref="F63:G63"/>
    <mergeCell ref="F64:G64"/>
    <mergeCell ref="F72:G72"/>
    <mergeCell ref="F73:G73"/>
    <mergeCell ref="F74:G74"/>
    <mergeCell ref="F75:G75"/>
    <mergeCell ref="F76:G76"/>
    <mergeCell ref="F77:G77"/>
    <mergeCell ref="F65:G65"/>
    <mergeCell ref="F66:G66"/>
    <mergeCell ref="F67:G67"/>
    <mergeCell ref="F68:G68"/>
    <mergeCell ref="F69:G69"/>
    <mergeCell ref="F70:G70"/>
    <mergeCell ref="F71:G71"/>
    <mergeCell ref="I15:N15"/>
    <mergeCell ref="M16:N16"/>
    <mergeCell ref="B2:N2"/>
    <mergeCell ref="B3:N3"/>
    <mergeCell ref="B5:C5"/>
    <mergeCell ref="D5:E5"/>
    <mergeCell ref="B14:N14"/>
    <mergeCell ref="B15:G15"/>
    <mergeCell ref="F16:G16"/>
    <mergeCell ref="F21:G21"/>
    <mergeCell ref="F22:G22"/>
    <mergeCell ref="F23:G23"/>
    <mergeCell ref="F25:G25"/>
    <mergeCell ref="F26:G26"/>
    <mergeCell ref="F27:G27"/>
    <mergeCell ref="F29:G29"/>
    <mergeCell ref="F33:G33"/>
    <mergeCell ref="F17:G17"/>
    <mergeCell ref="M17:N17"/>
    <mergeCell ref="F18:G18"/>
    <mergeCell ref="M18:N18"/>
    <mergeCell ref="F19:G19"/>
    <mergeCell ref="M19:N19"/>
    <mergeCell ref="M21:N21"/>
    <mergeCell ref="M22:N22"/>
    <mergeCell ref="M23:N23"/>
    <mergeCell ref="M25:N25"/>
    <mergeCell ref="M26:N26"/>
    <mergeCell ref="M27:N27"/>
    <mergeCell ref="M29:N29"/>
    <mergeCell ref="B31:N31"/>
    <mergeCell ref="B32:G32"/>
    <mergeCell ref="I32:N32"/>
    <mergeCell ref="M33:N33"/>
    <mergeCell ref="B39:N39"/>
    <mergeCell ref="B40:G40"/>
    <mergeCell ref="I40:N40"/>
    <mergeCell ref="M41:N41"/>
    <mergeCell ref="M42:N42"/>
    <mergeCell ref="M43:N43"/>
    <mergeCell ref="M44:N44"/>
    <mergeCell ref="M45:N45"/>
    <mergeCell ref="M46:N46"/>
    <mergeCell ref="M47:N47"/>
    <mergeCell ref="M48:N48"/>
    <mergeCell ref="B109:G109"/>
    <mergeCell ref="B110:G110"/>
    <mergeCell ref="B111:G114"/>
    <mergeCell ref="I111:N114"/>
    <mergeCell ref="B102:G102"/>
    <mergeCell ref="I102:N102"/>
    <mergeCell ref="B103:G103"/>
    <mergeCell ref="I103:N103"/>
    <mergeCell ref="B104:G107"/>
    <mergeCell ref="I104:N107"/>
    <mergeCell ref="I109:N109"/>
    <mergeCell ref="I110:N110"/>
    <mergeCell ref="M49:N49"/>
    <mergeCell ref="M50:N50"/>
    <mergeCell ref="M51:N51"/>
    <mergeCell ref="M52:N52"/>
    <mergeCell ref="M53:N53"/>
    <mergeCell ref="M54:N54"/>
    <mergeCell ref="B56:N56"/>
    <mergeCell ref="B57:G57"/>
    <mergeCell ref="I57:N57"/>
    <mergeCell ref="M58:N58"/>
    <mergeCell ref="M59:N59"/>
    <mergeCell ref="M60:N60"/>
    <mergeCell ref="M61:N61"/>
    <mergeCell ref="M62:N62"/>
    <mergeCell ref="M63:N63"/>
    <mergeCell ref="M64:N64"/>
    <mergeCell ref="M65:N65"/>
    <mergeCell ref="M66:N66"/>
    <mergeCell ref="M67:N67"/>
    <mergeCell ref="M68:N68"/>
    <mergeCell ref="M69:N69"/>
    <mergeCell ref="M70:N70"/>
    <mergeCell ref="M71:N71"/>
    <mergeCell ref="M72:N72"/>
    <mergeCell ref="M73:N73"/>
    <mergeCell ref="M74:N74"/>
    <mergeCell ref="M75:N75"/>
    <mergeCell ref="M76:N76"/>
    <mergeCell ref="M77:N77"/>
    <mergeCell ref="B79:N79"/>
    <mergeCell ref="B80:N80"/>
    <mergeCell ref="B91:D91"/>
    <mergeCell ref="F91:G91"/>
    <mergeCell ref="I91:K91"/>
    <mergeCell ref="M91:N91"/>
    <mergeCell ref="I96:N96"/>
    <mergeCell ref="I97:N100"/>
    <mergeCell ref="B93:N93"/>
    <mergeCell ref="B94:G94"/>
    <mergeCell ref="I94:N94"/>
    <mergeCell ref="B95:G95"/>
    <mergeCell ref="I95:N95"/>
    <mergeCell ref="B96:G96"/>
    <mergeCell ref="B97:G100"/>
  </mergeCells>
  <conditionalFormatting sqref="E59:E77 E42:E54 L42:L54 L59:L77">
    <cfRule type="cellIs" dxfId="2" priority="1" operator="greaterThan">
      <formula>"100%"</formula>
    </cfRule>
  </conditionalFormatting>
  <conditionalFormatting sqref="E59:E77 E42:E54 L42:L54 L59:L77">
    <cfRule type="cellIs" dxfId="1" priority="2" operator="lessThan">
      <formula>"100%"</formula>
    </cfRule>
  </conditionalFormatting>
  <conditionalFormatting sqref="E59:E77 E42:E54">
    <cfRule type="cellIs" dxfId="0" priority="3" operator="equal">
      <formula>"100%"</formula>
    </cfRule>
  </conditionalFormatting>
  <conditionalFormatting sqref="E42:E54 E59:E77">
    <cfRule type="notContainsBlanks" dxfId="3" priority="4">
      <formula>LEN(TRIM(E42))&gt;0</formula>
    </cfRule>
  </conditionalFormatting>
  <conditionalFormatting sqref="L59:L77 L42:L54">
    <cfRule type="cellIs" dxfId="0" priority="5" operator="equal">
      <formula>"100%"</formula>
    </cfRule>
  </conditionalFormatting>
  <dataValidations>
    <dataValidation type="list" allowBlank="1" showInputMessage="1" showErrorMessage="1" prompt="Nilai Tidak Valid - Silakan pilih nilai 1–5 dari dropdown." sqref="E82:E90 L82:L90">
      <formula1>"1,2,3,4,5"</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
    <col customWidth="1" min="2" max="2" width="26.0"/>
    <col customWidth="1" min="3" max="3" width="24.0"/>
    <col customWidth="1" min="4" max="5" width="22.0"/>
    <col customWidth="1" min="6" max="6" width="18.0"/>
    <col customWidth="1" min="7" max="7" width="28.0"/>
    <col customWidth="1" min="9" max="9" width="28.43"/>
    <col customWidth="1" min="10" max="10" width="15.86"/>
    <col customWidth="1" min="14" max="14" width="22.57"/>
  </cols>
  <sheetData>
    <row r="1">
      <c r="A1" s="28"/>
      <c r="B1" s="28"/>
      <c r="C1" s="28"/>
      <c r="D1" s="28"/>
      <c r="E1" s="28"/>
      <c r="F1" s="28"/>
      <c r="G1" s="28"/>
    </row>
    <row r="2">
      <c r="A2" s="351"/>
      <c r="B2" s="352" t="s">
        <v>825</v>
      </c>
      <c r="C2" s="30"/>
      <c r="D2" s="30"/>
      <c r="E2" s="30"/>
      <c r="F2" s="30"/>
      <c r="G2" s="30"/>
      <c r="H2" s="30"/>
      <c r="I2" s="30"/>
      <c r="J2" s="30"/>
      <c r="K2" s="30"/>
      <c r="L2" s="30"/>
      <c r="M2" s="30"/>
      <c r="N2" s="3"/>
      <c r="O2" s="353"/>
      <c r="P2" s="353"/>
      <c r="Q2" s="353"/>
      <c r="R2" s="353"/>
      <c r="S2" s="353"/>
      <c r="T2" s="353"/>
      <c r="U2" s="353"/>
      <c r="V2" s="353"/>
      <c r="W2" s="353"/>
      <c r="X2" s="353"/>
      <c r="Y2" s="353"/>
      <c r="Z2" s="353"/>
    </row>
    <row r="3">
      <c r="A3" s="28"/>
      <c r="B3" s="133" t="s">
        <v>826</v>
      </c>
      <c r="C3" s="30"/>
      <c r="D3" s="30"/>
      <c r="E3" s="30"/>
      <c r="F3" s="30"/>
      <c r="G3" s="30"/>
      <c r="H3" s="30"/>
      <c r="I3" s="30"/>
      <c r="J3" s="30"/>
      <c r="K3" s="30"/>
      <c r="L3" s="30"/>
      <c r="M3" s="30"/>
      <c r="N3" s="3"/>
    </row>
    <row r="4">
      <c r="A4" s="28"/>
      <c r="B4" s="28"/>
      <c r="C4" s="28"/>
      <c r="D4" s="28"/>
      <c r="E4" s="28"/>
      <c r="F4" s="28"/>
      <c r="G4" s="28"/>
    </row>
    <row r="5" ht="26.25" customHeight="1">
      <c r="A5" s="142"/>
      <c r="B5" s="134" t="s">
        <v>146</v>
      </c>
      <c r="C5" s="27"/>
      <c r="D5" s="134" t="s">
        <v>147</v>
      </c>
      <c r="E5" s="27"/>
      <c r="F5" s="142"/>
      <c r="G5" s="142"/>
      <c r="H5" s="146"/>
      <c r="I5" s="146"/>
      <c r="J5" s="146"/>
      <c r="K5" s="146"/>
      <c r="L5" s="146"/>
      <c r="M5" s="146"/>
      <c r="N5" s="146"/>
      <c r="O5" s="146"/>
      <c r="P5" s="146"/>
      <c r="Q5" s="146"/>
      <c r="R5" s="146"/>
      <c r="S5" s="146"/>
      <c r="T5" s="146"/>
      <c r="U5" s="146"/>
      <c r="V5" s="146"/>
      <c r="W5" s="146"/>
      <c r="X5" s="146"/>
      <c r="Y5" s="146"/>
      <c r="Z5" s="146"/>
    </row>
    <row r="6">
      <c r="A6" s="28"/>
      <c r="B6" s="135" t="s">
        <v>148</v>
      </c>
      <c r="C6" s="462">
        <v>55.0</v>
      </c>
      <c r="D6" s="135" t="s">
        <v>149</v>
      </c>
      <c r="E6" s="138" t="s">
        <v>674</v>
      </c>
      <c r="F6" s="28"/>
      <c r="G6" s="28"/>
    </row>
    <row r="7">
      <c r="A7" s="28"/>
      <c r="B7" s="139" t="s">
        <v>150</v>
      </c>
      <c r="C7" s="462" t="s">
        <v>675</v>
      </c>
      <c r="D7" s="139" t="s">
        <v>152</v>
      </c>
      <c r="E7" s="138">
        <v>2205.0</v>
      </c>
      <c r="F7" s="28"/>
      <c r="G7" s="28"/>
    </row>
    <row r="8">
      <c r="A8" s="28"/>
      <c r="B8" s="135" t="s">
        <v>154</v>
      </c>
      <c r="C8" s="462">
        <v>83.0</v>
      </c>
      <c r="D8" s="135" t="s">
        <v>155</v>
      </c>
      <c r="E8" s="138" t="s">
        <v>827</v>
      </c>
      <c r="F8" s="28"/>
      <c r="G8" s="28"/>
    </row>
    <row r="9">
      <c r="A9" s="28"/>
      <c r="B9" s="139" t="s">
        <v>157</v>
      </c>
      <c r="C9" s="462">
        <v>162.0</v>
      </c>
      <c r="D9" s="139" t="s">
        <v>158</v>
      </c>
      <c r="E9" s="138" t="s">
        <v>828</v>
      </c>
      <c r="F9" s="28"/>
      <c r="G9" s="28"/>
    </row>
    <row r="10">
      <c r="A10" s="28"/>
      <c r="B10" s="135" t="s">
        <v>160</v>
      </c>
      <c r="C10" s="462" t="s">
        <v>679</v>
      </c>
      <c r="D10" s="135" t="s">
        <v>162</v>
      </c>
      <c r="E10" s="138" t="s">
        <v>445</v>
      </c>
      <c r="F10" s="28"/>
      <c r="G10" s="28"/>
    </row>
    <row r="11">
      <c r="A11" s="28"/>
      <c r="B11" s="139" t="s">
        <v>93</v>
      </c>
      <c r="C11" s="463" t="s">
        <v>829</v>
      </c>
      <c r="D11" s="139" t="s">
        <v>165</v>
      </c>
      <c r="E11" s="138" t="s">
        <v>830</v>
      </c>
      <c r="F11" s="28"/>
      <c r="G11" s="28"/>
    </row>
    <row r="12">
      <c r="A12" s="28"/>
      <c r="B12" s="141"/>
      <c r="C12" s="141"/>
      <c r="D12" s="135" t="s">
        <v>167</v>
      </c>
      <c r="E12" s="138" t="s">
        <v>683</v>
      </c>
      <c r="F12" s="28"/>
      <c r="G12" s="28"/>
    </row>
    <row r="13">
      <c r="A13" s="28"/>
      <c r="B13" s="28"/>
      <c r="C13" s="28"/>
      <c r="D13" s="28"/>
      <c r="E13" s="28"/>
      <c r="F13" s="28"/>
      <c r="G13" s="28"/>
    </row>
    <row r="14" ht="26.25" customHeight="1">
      <c r="A14" s="142"/>
      <c r="B14" s="143" t="s">
        <v>169</v>
      </c>
      <c r="C14" s="144"/>
      <c r="D14" s="144"/>
      <c r="E14" s="144"/>
      <c r="F14" s="144"/>
      <c r="G14" s="144"/>
      <c r="H14" s="144"/>
      <c r="I14" s="144"/>
      <c r="J14" s="144"/>
      <c r="K14" s="144"/>
      <c r="L14" s="144"/>
      <c r="M14" s="144"/>
      <c r="N14" s="145"/>
      <c r="O14" s="146"/>
      <c r="P14" s="146"/>
      <c r="Q14" s="146"/>
      <c r="R14" s="146"/>
      <c r="S14" s="146"/>
      <c r="T14" s="146"/>
      <c r="U14" s="146"/>
      <c r="V14" s="146"/>
      <c r="W14" s="146"/>
      <c r="X14" s="146"/>
      <c r="Y14" s="146"/>
      <c r="Z14" s="146"/>
    </row>
    <row r="15" ht="25.5" customHeight="1">
      <c r="A15" s="147"/>
      <c r="B15" s="148" t="s">
        <v>170</v>
      </c>
      <c r="C15" s="149"/>
      <c r="D15" s="149"/>
      <c r="E15" s="149"/>
      <c r="F15" s="149"/>
      <c r="G15" s="150"/>
      <c r="H15" s="151"/>
      <c r="I15" s="152" t="s">
        <v>171</v>
      </c>
      <c r="J15" s="149"/>
      <c r="K15" s="149"/>
      <c r="L15" s="149"/>
      <c r="M15" s="149"/>
      <c r="N15" s="150"/>
      <c r="O15" s="153"/>
      <c r="P15" s="153"/>
      <c r="Q15" s="153"/>
      <c r="R15" s="153"/>
      <c r="S15" s="153"/>
      <c r="T15" s="153"/>
      <c r="U15" s="153"/>
      <c r="V15" s="153"/>
      <c r="W15" s="153"/>
      <c r="X15" s="153"/>
      <c r="Y15" s="153"/>
      <c r="Z15" s="153"/>
    </row>
    <row r="16">
      <c r="A16" s="28"/>
      <c r="B16" s="154" t="s">
        <v>172</v>
      </c>
      <c r="C16" s="154" t="s">
        <v>173</v>
      </c>
      <c r="D16" s="154" t="s">
        <v>174</v>
      </c>
      <c r="E16" s="154" t="s">
        <v>175</v>
      </c>
      <c r="F16" s="155" t="s">
        <v>371</v>
      </c>
      <c r="G16" s="150"/>
      <c r="H16" s="156"/>
      <c r="I16" s="157" t="s">
        <v>172</v>
      </c>
      <c r="J16" s="157" t="s">
        <v>173</v>
      </c>
      <c r="K16" s="157" t="s">
        <v>174</v>
      </c>
      <c r="L16" s="157" t="s">
        <v>175</v>
      </c>
      <c r="M16" s="158" t="s">
        <v>371</v>
      </c>
      <c r="N16" s="150"/>
    </row>
    <row r="17">
      <c r="A17" s="28"/>
      <c r="B17" s="159" t="s">
        <v>176</v>
      </c>
      <c r="C17" s="165" t="s">
        <v>831</v>
      </c>
      <c r="D17" s="160">
        <v>101.0</v>
      </c>
      <c r="E17" s="161">
        <v>373.7</v>
      </c>
      <c r="F17" s="162" t="s">
        <v>646</v>
      </c>
      <c r="G17" s="163"/>
      <c r="H17" s="164"/>
      <c r="I17" s="159" t="s">
        <v>176</v>
      </c>
      <c r="J17" s="160" t="s">
        <v>395</v>
      </c>
      <c r="K17" s="160" t="s">
        <v>832</v>
      </c>
      <c r="L17" s="161" t="s">
        <v>833</v>
      </c>
      <c r="M17" s="354"/>
      <c r="N17" s="163"/>
    </row>
    <row r="18">
      <c r="A18" s="28"/>
      <c r="B18" s="166" t="s">
        <v>183</v>
      </c>
      <c r="C18" s="171" t="s">
        <v>834</v>
      </c>
      <c r="D18" s="167">
        <v>100.0</v>
      </c>
      <c r="E18" s="168">
        <v>132.0</v>
      </c>
      <c r="F18" s="172"/>
      <c r="G18" s="170"/>
      <c r="H18" s="164"/>
      <c r="I18" s="166" t="s">
        <v>183</v>
      </c>
      <c r="J18" s="167" t="s">
        <v>378</v>
      </c>
      <c r="K18" s="167" t="s">
        <v>633</v>
      </c>
      <c r="L18" s="168" t="s">
        <v>835</v>
      </c>
      <c r="M18" s="172"/>
      <c r="N18" s="170"/>
    </row>
    <row r="19">
      <c r="A19" s="28"/>
      <c r="B19" s="173" t="s">
        <v>190</v>
      </c>
      <c r="C19" s="171" t="s">
        <v>836</v>
      </c>
      <c r="D19" s="167">
        <v>100.0</v>
      </c>
      <c r="E19" s="168">
        <v>61.0</v>
      </c>
      <c r="F19" s="172"/>
      <c r="G19" s="170"/>
      <c r="H19" s="164"/>
      <c r="I19" s="173" t="s">
        <v>190</v>
      </c>
      <c r="J19" s="167" t="s">
        <v>382</v>
      </c>
      <c r="K19" s="167" t="s">
        <v>384</v>
      </c>
      <c r="L19" s="168">
        <v>101.0</v>
      </c>
      <c r="M19" s="172"/>
      <c r="N19" s="170"/>
    </row>
    <row r="20">
      <c r="A20" s="28"/>
      <c r="B20" s="174"/>
      <c r="C20" s="176"/>
      <c r="D20" s="175"/>
      <c r="E20" s="175"/>
      <c r="F20" s="176"/>
      <c r="G20" s="176"/>
      <c r="H20" s="164"/>
      <c r="I20" s="174"/>
      <c r="J20" s="175"/>
      <c r="K20" s="175"/>
      <c r="L20" s="175"/>
      <c r="M20" s="176"/>
      <c r="N20" s="176"/>
    </row>
    <row r="21">
      <c r="A21" s="28"/>
      <c r="B21" s="177" t="s">
        <v>196</v>
      </c>
      <c r="C21" s="171" t="s">
        <v>461</v>
      </c>
      <c r="D21" s="167">
        <v>112.0</v>
      </c>
      <c r="E21" s="168">
        <v>373.0</v>
      </c>
      <c r="F21" s="169" t="s">
        <v>837</v>
      </c>
      <c r="G21" s="170"/>
      <c r="H21" s="164"/>
      <c r="I21" s="177" t="s">
        <v>196</v>
      </c>
      <c r="J21" s="167" t="s">
        <v>461</v>
      </c>
      <c r="K21" s="167" t="s">
        <v>754</v>
      </c>
      <c r="L21" s="168" t="s">
        <v>838</v>
      </c>
      <c r="M21" s="169" t="s">
        <v>839</v>
      </c>
      <c r="N21" s="170"/>
    </row>
    <row r="22">
      <c r="A22" s="28"/>
      <c r="B22" s="178" t="s">
        <v>203</v>
      </c>
      <c r="C22" s="171" t="s">
        <v>840</v>
      </c>
      <c r="D22" s="167">
        <v>100.0</v>
      </c>
      <c r="E22" s="168">
        <v>343.0</v>
      </c>
      <c r="F22" s="172"/>
      <c r="G22" s="170"/>
      <c r="H22" s="164"/>
      <c r="I22" s="178" t="s">
        <v>203</v>
      </c>
      <c r="J22" s="167" t="s">
        <v>841</v>
      </c>
      <c r="K22" s="167" t="s">
        <v>842</v>
      </c>
      <c r="L22" s="168">
        <v>165.0</v>
      </c>
      <c r="M22" s="169" t="s">
        <v>843</v>
      </c>
      <c r="N22" s="170"/>
    </row>
    <row r="23">
      <c r="A23" s="28"/>
      <c r="B23" s="177" t="s">
        <v>211</v>
      </c>
      <c r="C23" s="171" t="s">
        <v>844</v>
      </c>
      <c r="D23" s="167">
        <v>111.0</v>
      </c>
      <c r="E23" s="168">
        <v>78.8</v>
      </c>
      <c r="F23" s="169" t="s">
        <v>845</v>
      </c>
      <c r="G23" s="170"/>
      <c r="H23" s="164"/>
      <c r="I23" s="177" t="s">
        <v>211</v>
      </c>
      <c r="J23" s="167" t="s">
        <v>382</v>
      </c>
      <c r="K23" s="167" t="s">
        <v>846</v>
      </c>
      <c r="L23" s="168" t="s">
        <v>847</v>
      </c>
      <c r="M23" s="172"/>
      <c r="N23" s="170"/>
    </row>
    <row r="24">
      <c r="A24" s="28"/>
      <c r="B24" s="174"/>
      <c r="C24" s="176"/>
      <c r="D24" s="175"/>
      <c r="E24" s="175"/>
      <c r="F24" s="176"/>
      <c r="G24" s="176"/>
      <c r="H24" s="164"/>
      <c r="I24" s="174"/>
      <c r="J24" s="175"/>
      <c r="K24" s="175"/>
      <c r="L24" s="175"/>
      <c r="M24" s="176"/>
      <c r="N24" s="176"/>
    </row>
    <row r="25">
      <c r="A25" s="28"/>
      <c r="B25" s="179" t="s">
        <v>216</v>
      </c>
      <c r="C25" s="171" t="s">
        <v>703</v>
      </c>
      <c r="D25" s="167">
        <v>118.0</v>
      </c>
      <c r="E25" s="168">
        <v>260.8</v>
      </c>
      <c r="F25" s="172"/>
      <c r="G25" s="170"/>
      <c r="H25" s="164"/>
      <c r="I25" s="179" t="s">
        <v>216</v>
      </c>
      <c r="J25" s="167" t="s">
        <v>848</v>
      </c>
      <c r="K25" s="167" t="s">
        <v>622</v>
      </c>
      <c r="L25" s="168" t="s">
        <v>849</v>
      </c>
      <c r="M25" s="172"/>
      <c r="N25" s="170"/>
    </row>
    <row r="26">
      <c r="A26" s="28"/>
      <c r="B26" s="180" t="s">
        <v>223</v>
      </c>
      <c r="C26" s="171" t="s">
        <v>645</v>
      </c>
      <c r="D26" s="167">
        <v>100.0</v>
      </c>
      <c r="E26" s="168">
        <v>242.0</v>
      </c>
      <c r="F26" s="172"/>
      <c r="G26" s="170"/>
      <c r="H26" s="164"/>
      <c r="I26" s="180" t="s">
        <v>223</v>
      </c>
      <c r="J26" s="167" t="s">
        <v>526</v>
      </c>
      <c r="K26" s="167" t="s">
        <v>850</v>
      </c>
      <c r="L26" s="168" t="s">
        <v>851</v>
      </c>
      <c r="M26" s="169" t="s">
        <v>852</v>
      </c>
      <c r="N26" s="170"/>
    </row>
    <row r="27">
      <c r="A27" s="28"/>
      <c r="B27" s="179" t="s">
        <v>229</v>
      </c>
      <c r="C27" s="171" t="s">
        <v>853</v>
      </c>
      <c r="D27" s="167">
        <v>117.0</v>
      </c>
      <c r="E27" s="168">
        <v>45.6</v>
      </c>
      <c r="F27" s="172"/>
      <c r="G27" s="170"/>
      <c r="H27" s="164"/>
      <c r="I27" s="179" t="s">
        <v>229</v>
      </c>
      <c r="J27" s="167" t="s">
        <v>546</v>
      </c>
      <c r="K27" s="167" t="s">
        <v>384</v>
      </c>
      <c r="L27" s="168">
        <v>141.0</v>
      </c>
      <c r="M27" s="172"/>
      <c r="N27" s="170"/>
    </row>
    <row r="28">
      <c r="A28" s="28"/>
      <c r="B28" s="174"/>
      <c r="C28" s="176"/>
      <c r="D28" s="175"/>
      <c r="E28" s="175"/>
      <c r="F28" s="176"/>
      <c r="G28" s="176"/>
      <c r="H28" s="164"/>
      <c r="I28" s="174"/>
      <c r="J28" s="175"/>
      <c r="K28" s="175"/>
      <c r="L28" s="175"/>
      <c r="M28" s="176"/>
      <c r="N28" s="176"/>
    </row>
    <row r="29">
      <c r="A29" s="28"/>
      <c r="B29" s="181" t="s">
        <v>234</v>
      </c>
      <c r="C29" s="171" t="s">
        <v>854</v>
      </c>
      <c r="D29" s="167">
        <v>140.0</v>
      </c>
      <c r="E29" s="168">
        <v>303.8</v>
      </c>
      <c r="F29" s="169" t="s">
        <v>855</v>
      </c>
      <c r="G29" s="170"/>
      <c r="H29" s="164"/>
      <c r="I29" s="181" t="s">
        <v>234</v>
      </c>
      <c r="J29" s="167" t="s">
        <v>856</v>
      </c>
      <c r="K29" s="167" t="s">
        <v>239</v>
      </c>
      <c r="L29" s="168" t="s">
        <v>857</v>
      </c>
      <c r="M29" s="172"/>
      <c r="N29" s="170"/>
    </row>
    <row r="30">
      <c r="A30" s="28"/>
      <c r="F30" s="28"/>
      <c r="G30" s="28"/>
    </row>
    <row r="31" ht="26.25" customHeight="1">
      <c r="A31" s="142"/>
      <c r="B31" s="182" t="s">
        <v>241</v>
      </c>
      <c r="C31" s="183"/>
      <c r="D31" s="183"/>
      <c r="E31" s="183"/>
      <c r="F31" s="183"/>
      <c r="G31" s="183"/>
      <c r="H31" s="183"/>
      <c r="I31" s="183"/>
      <c r="J31" s="183"/>
      <c r="K31" s="183"/>
      <c r="L31" s="183"/>
      <c r="M31" s="183"/>
      <c r="N31" s="184"/>
      <c r="O31" s="146"/>
      <c r="P31" s="146"/>
      <c r="Q31" s="146"/>
      <c r="R31" s="146"/>
      <c r="S31" s="146"/>
      <c r="T31" s="146"/>
      <c r="U31" s="146"/>
      <c r="V31" s="146"/>
      <c r="W31" s="146"/>
      <c r="X31" s="146"/>
      <c r="Y31" s="146"/>
      <c r="Z31" s="146"/>
    </row>
    <row r="32" ht="25.5" customHeight="1">
      <c r="A32" s="147"/>
      <c r="B32" s="237" t="s">
        <v>408</v>
      </c>
      <c r="C32" s="235"/>
      <c r="D32" s="235"/>
      <c r="E32" s="235"/>
      <c r="F32" s="235"/>
      <c r="G32" s="236"/>
      <c r="H32" s="185"/>
      <c r="I32" s="152" t="s">
        <v>242</v>
      </c>
      <c r="J32" s="149"/>
      <c r="K32" s="149"/>
      <c r="L32" s="149"/>
      <c r="M32" s="149"/>
      <c r="N32" s="150"/>
      <c r="O32" s="153"/>
      <c r="P32" s="153"/>
      <c r="Q32" s="153"/>
      <c r="R32" s="153"/>
      <c r="S32" s="153"/>
      <c r="T32" s="153"/>
      <c r="U32" s="153"/>
      <c r="V32" s="153"/>
      <c r="W32" s="153"/>
      <c r="X32" s="153"/>
      <c r="Y32" s="153"/>
      <c r="Z32" s="153"/>
    </row>
    <row r="33">
      <c r="A33" s="28"/>
      <c r="B33" s="186" t="s">
        <v>172</v>
      </c>
      <c r="C33" s="186" t="s">
        <v>175</v>
      </c>
      <c r="D33" s="186" t="s">
        <v>243</v>
      </c>
      <c r="E33" s="187" t="s">
        <v>244</v>
      </c>
      <c r="F33" s="188" t="s">
        <v>245</v>
      </c>
      <c r="G33" s="235"/>
      <c r="H33" s="190"/>
      <c r="I33" s="157" t="s">
        <v>172</v>
      </c>
      <c r="J33" s="157" t="s">
        <v>175</v>
      </c>
      <c r="K33" s="157" t="s">
        <v>243</v>
      </c>
      <c r="L33" s="157" t="s">
        <v>244</v>
      </c>
      <c r="M33" s="191" t="s">
        <v>245</v>
      </c>
      <c r="N33" s="150"/>
    </row>
    <row r="34">
      <c r="A34" s="28"/>
      <c r="B34" s="193" t="s">
        <v>246</v>
      </c>
      <c r="C34" s="194" t="s">
        <v>858</v>
      </c>
      <c r="D34" s="366" t="s">
        <v>410</v>
      </c>
      <c r="E34" s="367" t="s">
        <v>248</v>
      </c>
      <c r="F34" s="197">
        <v>0.257</v>
      </c>
      <c r="G34" s="198"/>
      <c r="H34" s="164"/>
      <c r="I34" s="199" t="s">
        <v>246</v>
      </c>
      <c r="J34" s="412">
        <v>505.7</v>
      </c>
      <c r="K34" s="402" t="s">
        <v>410</v>
      </c>
      <c r="L34" s="202" t="s">
        <v>248</v>
      </c>
      <c r="M34" s="203">
        <f t="shared" ref="M34:M37" si="1">J34/sum($J$34:$J$37)</f>
        <v>0.254645249</v>
      </c>
      <c r="N34" s="203"/>
    </row>
    <row r="35">
      <c r="A35" s="28"/>
      <c r="B35" s="204" t="s">
        <v>249</v>
      </c>
      <c r="C35" s="205" t="s">
        <v>859</v>
      </c>
      <c r="D35" s="369" t="s">
        <v>412</v>
      </c>
      <c r="E35" s="212" t="s">
        <v>248</v>
      </c>
      <c r="F35" s="208">
        <v>0.36</v>
      </c>
      <c r="G35" s="209"/>
      <c r="H35" s="164"/>
      <c r="I35" s="204" t="s">
        <v>249</v>
      </c>
      <c r="J35" s="413">
        <v>710.8</v>
      </c>
      <c r="K35" s="369" t="s">
        <v>412</v>
      </c>
      <c r="L35" s="212" t="s">
        <v>248</v>
      </c>
      <c r="M35" s="213">
        <f t="shared" si="1"/>
        <v>0.3579233597</v>
      </c>
      <c r="N35" s="213"/>
    </row>
    <row r="36">
      <c r="A36" s="28"/>
      <c r="B36" s="214" t="s">
        <v>251</v>
      </c>
      <c r="C36" s="215" t="s">
        <v>860</v>
      </c>
      <c r="D36" s="370" t="s">
        <v>414</v>
      </c>
      <c r="E36" s="222" t="s">
        <v>248</v>
      </c>
      <c r="F36" s="218">
        <v>0.249</v>
      </c>
      <c r="G36" s="219"/>
      <c r="H36" s="164"/>
      <c r="I36" s="214" t="s">
        <v>251</v>
      </c>
      <c r="J36" s="414">
        <v>464.6</v>
      </c>
      <c r="K36" s="370" t="s">
        <v>414</v>
      </c>
      <c r="L36" s="222" t="s">
        <v>248</v>
      </c>
      <c r="M36" s="223">
        <f t="shared" si="1"/>
        <v>0.2339493429</v>
      </c>
      <c r="N36" s="223"/>
    </row>
    <row r="37">
      <c r="A37" s="28"/>
      <c r="B37" s="224" t="s">
        <v>253</v>
      </c>
      <c r="C37" s="225" t="s">
        <v>861</v>
      </c>
      <c r="D37" s="371" t="s">
        <v>416</v>
      </c>
      <c r="E37" s="232" t="s">
        <v>248</v>
      </c>
      <c r="F37" s="228">
        <v>0.138</v>
      </c>
      <c r="G37" s="229"/>
      <c r="H37" s="164"/>
      <c r="I37" s="224" t="s">
        <v>253</v>
      </c>
      <c r="J37" s="415">
        <v>304.8</v>
      </c>
      <c r="K37" s="371" t="s">
        <v>416</v>
      </c>
      <c r="L37" s="232" t="s">
        <v>248</v>
      </c>
      <c r="M37" s="233">
        <f t="shared" si="1"/>
        <v>0.1534820484</v>
      </c>
      <c r="N37" s="233"/>
    </row>
    <row r="38">
      <c r="A38" s="28"/>
      <c r="B38" s="28"/>
      <c r="C38" s="28"/>
      <c r="D38" s="28"/>
      <c r="E38" s="28"/>
      <c r="F38" s="28"/>
      <c r="G38" s="28"/>
    </row>
    <row r="39" ht="26.25" customHeight="1">
      <c r="A39" s="142"/>
      <c r="B39" s="234" t="s">
        <v>255</v>
      </c>
      <c r="C39" s="235"/>
      <c r="D39" s="235"/>
      <c r="E39" s="235"/>
      <c r="F39" s="235"/>
      <c r="G39" s="235"/>
      <c r="H39" s="235"/>
      <c r="I39" s="235"/>
      <c r="J39" s="235"/>
      <c r="K39" s="235"/>
      <c r="L39" s="235"/>
      <c r="M39" s="235"/>
      <c r="N39" s="236"/>
      <c r="O39" s="146"/>
      <c r="P39" s="146"/>
      <c r="Q39" s="146"/>
      <c r="R39" s="146"/>
      <c r="S39" s="146"/>
      <c r="T39" s="146"/>
      <c r="U39" s="146"/>
      <c r="V39" s="146"/>
      <c r="W39" s="146"/>
      <c r="X39" s="146"/>
      <c r="Y39" s="146"/>
      <c r="Z39" s="146"/>
    </row>
    <row r="40" ht="25.5" customHeight="1">
      <c r="A40" s="147"/>
      <c r="B40" s="237" t="s">
        <v>256</v>
      </c>
      <c r="C40" s="235"/>
      <c r="D40" s="235"/>
      <c r="E40" s="235"/>
      <c r="F40" s="235"/>
      <c r="G40" s="236"/>
      <c r="H40" s="185"/>
      <c r="I40" s="152" t="s">
        <v>257</v>
      </c>
      <c r="J40" s="149"/>
      <c r="K40" s="149"/>
      <c r="L40" s="149"/>
      <c r="M40" s="149"/>
      <c r="N40" s="150"/>
      <c r="O40" s="153"/>
      <c r="P40" s="153"/>
      <c r="Q40" s="153"/>
      <c r="R40" s="153"/>
      <c r="S40" s="153"/>
      <c r="T40" s="153"/>
      <c r="U40" s="153"/>
      <c r="V40" s="153"/>
      <c r="W40" s="153"/>
      <c r="X40" s="153"/>
      <c r="Y40" s="153"/>
      <c r="Z40" s="153"/>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385"/>
      <c r="B42" s="377" t="s">
        <v>262</v>
      </c>
      <c r="C42" s="243" t="s">
        <v>827</v>
      </c>
      <c r="D42" s="243">
        <v>2213.68</v>
      </c>
      <c r="E42" s="246">
        <v>1.0</v>
      </c>
      <c r="F42" s="386"/>
      <c r="G42" s="235"/>
      <c r="H42" s="387"/>
      <c r="I42" s="377" t="s">
        <v>262</v>
      </c>
      <c r="J42" s="243" t="s">
        <v>827</v>
      </c>
      <c r="K42" s="243">
        <v>1985.9</v>
      </c>
      <c r="L42" s="246">
        <v>0.901</v>
      </c>
      <c r="M42" s="386"/>
      <c r="N42" s="235"/>
      <c r="O42" s="388"/>
      <c r="P42" s="388"/>
      <c r="Q42" s="388"/>
      <c r="R42" s="388"/>
      <c r="S42" s="388"/>
      <c r="T42" s="388"/>
      <c r="U42" s="388"/>
      <c r="V42" s="388"/>
      <c r="W42" s="388"/>
      <c r="X42" s="388"/>
      <c r="Y42" s="388"/>
      <c r="Z42" s="388"/>
    </row>
    <row r="43">
      <c r="A43" s="385"/>
      <c r="B43" s="377" t="s">
        <v>158</v>
      </c>
      <c r="C43" s="243" t="s">
        <v>828</v>
      </c>
      <c r="D43" s="243">
        <v>69.08</v>
      </c>
      <c r="E43" s="246">
        <v>1.0</v>
      </c>
      <c r="F43" s="386"/>
      <c r="G43" s="235"/>
      <c r="H43" s="387"/>
      <c r="I43" s="377" t="s">
        <v>158</v>
      </c>
      <c r="J43" s="243" t="s">
        <v>828</v>
      </c>
      <c r="K43" s="243">
        <v>48.4</v>
      </c>
      <c r="L43" s="246">
        <v>0.728</v>
      </c>
      <c r="M43" s="386"/>
      <c r="N43" s="235"/>
      <c r="O43" s="388"/>
      <c r="P43" s="388"/>
      <c r="Q43" s="388"/>
      <c r="R43" s="388"/>
      <c r="S43" s="388"/>
      <c r="T43" s="388"/>
      <c r="U43" s="388"/>
      <c r="V43" s="388"/>
      <c r="W43" s="388"/>
      <c r="X43" s="388"/>
      <c r="Y43" s="388"/>
      <c r="Z43" s="388"/>
    </row>
    <row r="44">
      <c r="A44" s="385"/>
      <c r="B44" s="377" t="s">
        <v>263</v>
      </c>
      <c r="C44" s="243" t="s">
        <v>445</v>
      </c>
      <c r="D44" s="243">
        <v>65.12</v>
      </c>
      <c r="E44" s="246">
        <v>1.0</v>
      </c>
      <c r="F44" s="386"/>
      <c r="G44" s="235"/>
      <c r="H44" s="387"/>
      <c r="I44" s="377" t="s">
        <v>263</v>
      </c>
      <c r="J44" s="243" t="s">
        <v>445</v>
      </c>
      <c r="K44" s="243">
        <v>56.0</v>
      </c>
      <c r="L44" s="246">
        <v>0.925</v>
      </c>
      <c r="M44" s="386"/>
      <c r="N44" s="235"/>
      <c r="O44" s="388"/>
      <c r="P44" s="388"/>
      <c r="Q44" s="388"/>
      <c r="R44" s="388"/>
      <c r="S44" s="388"/>
      <c r="T44" s="388"/>
      <c r="U44" s="388"/>
      <c r="V44" s="388"/>
      <c r="W44" s="388"/>
      <c r="X44" s="388"/>
      <c r="Y44" s="388"/>
      <c r="Z44" s="388"/>
    </row>
    <row r="45">
      <c r="A45" s="385"/>
      <c r="B45" s="377" t="s">
        <v>264</v>
      </c>
      <c r="C45" s="243" t="s">
        <v>830</v>
      </c>
      <c r="D45" s="243">
        <v>339.08</v>
      </c>
      <c r="E45" s="246">
        <v>1.065</v>
      </c>
      <c r="F45" s="386"/>
      <c r="G45" s="235"/>
      <c r="H45" s="387"/>
      <c r="I45" s="377" t="s">
        <v>264</v>
      </c>
      <c r="J45" s="243" t="s">
        <v>830</v>
      </c>
      <c r="K45" s="243">
        <v>329.7</v>
      </c>
      <c r="L45" s="246">
        <f>K45/318.4</f>
        <v>1.03548995</v>
      </c>
      <c r="M45" s="386"/>
      <c r="N45" s="235"/>
      <c r="O45" s="388"/>
      <c r="P45" s="388"/>
      <c r="Q45" s="388"/>
      <c r="R45" s="388"/>
      <c r="S45" s="388"/>
      <c r="T45" s="388"/>
      <c r="U45" s="388"/>
      <c r="V45" s="388"/>
      <c r="W45" s="388"/>
      <c r="X45" s="388"/>
      <c r="Y45" s="388"/>
      <c r="Z45" s="388"/>
    </row>
    <row r="46">
      <c r="A46" s="385"/>
      <c r="B46" s="377" t="s">
        <v>265</v>
      </c>
      <c r="C46" s="243" t="s">
        <v>660</v>
      </c>
      <c r="D46" s="243">
        <v>1509.17</v>
      </c>
      <c r="E46" s="246">
        <v>1.0</v>
      </c>
      <c r="F46" s="386"/>
      <c r="G46" s="235"/>
      <c r="H46" s="387"/>
      <c r="I46" s="377" t="s">
        <v>265</v>
      </c>
      <c r="J46" s="243" t="s">
        <v>660</v>
      </c>
      <c r="K46" s="243">
        <v>3089.1</v>
      </c>
      <c r="L46" s="246">
        <f>K46/2000</f>
        <v>1.54455</v>
      </c>
      <c r="M46" s="386"/>
      <c r="N46" s="235"/>
      <c r="O46" s="388"/>
      <c r="P46" s="388"/>
      <c r="Q46" s="388"/>
      <c r="R46" s="388"/>
      <c r="S46" s="388"/>
      <c r="T46" s="388"/>
      <c r="U46" s="388"/>
      <c r="V46" s="388"/>
      <c r="W46" s="388"/>
      <c r="X46" s="388"/>
      <c r="Y46" s="388"/>
      <c r="Z46" s="388"/>
    </row>
    <row r="47">
      <c r="A47" s="385"/>
      <c r="B47" s="377" t="s">
        <v>267</v>
      </c>
      <c r="C47" s="243" t="s">
        <v>487</v>
      </c>
      <c r="D47" s="243">
        <v>25.7</v>
      </c>
      <c r="E47" s="246">
        <v>1.0</v>
      </c>
      <c r="F47" s="386"/>
      <c r="G47" s="235"/>
      <c r="H47" s="387"/>
      <c r="I47" s="377" t="s">
        <v>267</v>
      </c>
      <c r="J47" s="243" t="s">
        <v>487</v>
      </c>
      <c r="K47" s="243">
        <v>31.7</v>
      </c>
      <c r="L47" s="246">
        <f>K47/27.6</f>
        <v>1.148550725</v>
      </c>
      <c r="M47" s="386"/>
      <c r="N47" s="235"/>
      <c r="O47" s="388"/>
      <c r="P47" s="388"/>
      <c r="Q47" s="388"/>
      <c r="R47" s="388"/>
      <c r="S47" s="388"/>
      <c r="T47" s="388"/>
      <c r="U47" s="388"/>
      <c r="V47" s="388"/>
      <c r="W47" s="388"/>
      <c r="X47" s="388"/>
      <c r="Y47" s="388"/>
      <c r="Z47" s="388"/>
    </row>
    <row r="48">
      <c r="A48" s="385"/>
      <c r="B48" s="377" t="s">
        <v>269</v>
      </c>
      <c r="C48" s="243" t="s">
        <v>488</v>
      </c>
      <c r="D48" s="243">
        <v>45.59</v>
      </c>
      <c r="E48" s="246">
        <v>1.0</v>
      </c>
      <c r="F48" s="386"/>
      <c r="G48" s="235"/>
      <c r="H48" s="387"/>
      <c r="I48" s="377" t="s">
        <v>269</v>
      </c>
      <c r="J48" s="243" t="s">
        <v>488</v>
      </c>
      <c r="K48" s="243">
        <v>12.3</v>
      </c>
      <c r="L48" s="246">
        <v>1.0</v>
      </c>
      <c r="M48" s="386"/>
      <c r="N48" s="235"/>
      <c r="O48" s="388"/>
      <c r="P48" s="388"/>
      <c r="Q48" s="388"/>
      <c r="R48" s="388"/>
      <c r="S48" s="388"/>
      <c r="T48" s="388"/>
      <c r="U48" s="388"/>
      <c r="V48" s="388"/>
      <c r="W48" s="388"/>
      <c r="X48" s="388"/>
      <c r="Y48" s="388"/>
      <c r="Z48" s="388"/>
    </row>
    <row r="49">
      <c r="A49" s="385"/>
      <c r="B49" s="377" t="s">
        <v>271</v>
      </c>
      <c r="C49" s="243" t="s">
        <v>489</v>
      </c>
      <c r="D49" s="243">
        <v>12.78</v>
      </c>
      <c r="E49" s="246">
        <v>1.0</v>
      </c>
      <c r="F49" s="386"/>
      <c r="G49" s="235"/>
      <c r="H49" s="389"/>
      <c r="I49" s="377" t="s">
        <v>271</v>
      </c>
      <c r="J49" s="243" t="s">
        <v>489</v>
      </c>
      <c r="K49" s="243">
        <v>10.7</v>
      </c>
      <c r="L49" s="246">
        <v>1.0</v>
      </c>
      <c r="M49" s="386"/>
      <c r="N49" s="235"/>
      <c r="O49" s="388"/>
      <c r="P49" s="388"/>
      <c r="Q49" s="388"/>
      <c r="R49" s="388"/>
      <c r="S49" s="388"/>
      <c r="T49" s="388"/>
      <c r="U49" s="388"/>
      <c r="V49" s="388"/>
      <c r="W49" s="388"/>
      <c r="X49" s="388"/>
      <c r="Y49" s="388"/>
      <c r="Z49" s="388"/>
    </row>
    <row r="50">
      <c r="A50" s="385"/>
      <c r="B50" s="377" t="s">
        <v>304</v>
      </c>
      <c r="C50" s="243" t="s">
        <v>490</v>
      </c>
      <c r="D50" s="243">
        <v>4546.72</v>
      </c>
      <c r="E50" s="246">
        <v>1.0</v>
      </c>
      <c r="F50" s="386"/>
      <c r="G50" s="235"/>
      <c r="H50" s="389"/>
      <c r="I50" s="377" t="s">
        <v>304</v>
      </c>
      <c r="J50" s="243" t="s">
        <v>490</v>
      </c>
      <c r="K50" s="243">
        <v>2369.1</v>
      </c>
      <c r="L50" s="246">
        <v>0.531</v>
      </c>
      <c r="M50" s="386"/>
      <c r="N50" s="235"/>
      <c r="O50" s="388"/>
      <c r="P50" s="388"/>
      <c r="Q50" s="388"/>
      <c r="R50" s="388"/>
      <c r="S50" s="388"/>
      <c r="T50" s="388"/>
      <c r="U50" s="388"/>
      <c r="V50" s="388"/>
      <c r="W50" s="388"/>
      <c r="X50" s="388"/>
      <c r="Y50" s="388"/>
      <c r="Z50" s="388"/>
    </row>
    <row r="51">
      <c r="A51" s="385"/>
      <c r="B51" s="377" t="s">
        <v>297</v>
      </c>
      <c r="C51" s="243" t="s">
        <v>663</v>
      </c>
      <c r="D51" s="243">
        <v>798.23</v>
      </c>
      <c r="E51" s="246">
        <v>0.998</v>
      </c>
      <c r="F51" s="386"/>
      <c r="G51" s="235"/>
      <c r="H51" s="389"/>
      <c r="I51" s="377" t="s">
        <v>297</v>
      </c>
      <c r="J51" s="243" t="s">
        <v>663</v>
      </c>
      <c r="K51" s="243">
        <v>340.2</v>
      </c>
      <c r="L51" s="246">
        <v>0.425</v>
      </c>
      <c r="M51" s="386"/>
      <c r="N51" s="235"/>
      <c r="O51" s="388"/>
      <c r="P51" s="388"/>
      <c r="Q51" s="388"/>
      <c r="R51" s="388"/>
      <c r="S51" s="388"/>
      <c r="T51" s="388"/>
      <c r="U51" s="388"/>
      <c r="V51" s="388"/>
      <c r="W51" s="388"/>
      <c r="X51" s="388"/>
      <c r="Y51" s="388"/>
      <c r="Z51" s="388"/>
    </row>
    <row r="52">
      <c r="A52" s="385"/>
      <c r="B52" s="377" t="s">
        <v>492</v>
      </c>
      <c r="C52" s="243" t="s">
        <v>493</v>
      </c>
      <c r="D52" s="243">
        <v>353.75</v>
      </c>
      <c r="E52" s="246">
        <v>1.0</v>
      </c>
      <c r="F52" s="386"/>
      <c r="G52" s="235"/>
      <c r="H52" s="389"/>
      <c r="I52" s="377" t="s">
        <v>492</v>
      </c>
      <c r="J52" s="243" t="s">
        <v>493</v>
      </c>
      <c r="K52" s="243">
        <v>338.0</v>
      </c>
      <c r="L52" s="246">
        <v>1.0</v>
      </c>
      <c r="M52" s="386"/>
      <c r="N52" s="235"/>
      <c r="O52" s="388"/>
      <c r="P52" s="388"/>
      <c r="Q52" s="388"/>
      <c r="R52" s="388"/>
      <c r="S52" s="388"/>
      <c r="T52" s="388"/>
      <c r="U52" s="388"/>
      <c r="V52" s="388"/>
      <c r="W52" s="388"/>
      <c r="X52" s="388"/>
      <c r="Y52" s="388"/>
      <c r="Z52" s="388"/>
    </row>
    <row r="53">
      <c r="A53" s="385"/>
      <c r="B53" s="377" t="s">
        <v>313</v>
      </c>
      <c r="C53" s="243" t="s">
        <v>494</v>
      </c>
      <c r="D53" s="243">
        <v>15.51</v>
      </c>
      <c r="E53" s="246">
        <v>0.517</v>
      </c>
      <c r="F53" s="386"/>
      <c r="G53" s="235"/>
      <c r="H53" s="389"/>
      <c r="I53" s="377" t="s">
        <v>313</v>
      </c>
      <c r="J53" s="243" t="s">
        <v>494</v>
      </c>
      <c r="K53" s="243">
        <v>19.2</v>
      </c>
      <c r="L53" s="246">
        <v>0.642</v>
      </c>
      <c r="M53" s="386"/>
      <c r="N53" s="235"/>
      <c r="O53" s="388"/>
      <c r="P53" s="388"/>
      <c r="Q53" s="388"/>
      <c r="R53" s="388"/>
      <c r="S53" s="388"/>
      <c r="T53" s="388"/>
      <c r="U53" s="388"/>
      <c r="V53" s="388"/>
      <c r="W53" s="388"/>
      <c r="X53" s="388"/>
      <c r="Y53" s="388"/>
      <c r="Z53" s="388"/>
    </row>
    <row r="54">
      <c r="A54" s="385"/>
      <c r="B54" s="377" t="s">
        <v>302</v>
      </c>
      <c r="C54" s="243" t="s">
        <v>663</v>
      </c>
      <c r="D54" s="243">
        <v>1000.38</v>
      </c>
      <c r="E54" s="246">
        <v>1.0</v>
      </c>
      <c r="F54" s="386"/>
      <c r="G54" s="235"/>
      <c r="H54" s="389"/>
      <c r="I54" s="377" t="s">
        <v>302</v>
      </c>
      <c r="J54" s="243" t="s">
        <v>663</v>
      </c>
      <c r="K54" s="243">
        <v>802.2</v>
      </c>
      <c r="L54" s="246">
        <v>1.0</v>
      </c>
      <c r="M54" s="386"/>
      <c r="N54" s="235"/>
      <c r="O54" s="388"/>
      <c r="P54" s="388"/>
      <c r="Q54" s="388"/>
      <c r="R54" s="388"/>
      <c r="S54" s="388"/>
      <c r="T54" s="388"/>
      <c r="U54" s="388"/>
      <c r="V54" s="388"/>
      <c r="W54" s="388"/>
      <c r="X54" s="388"/>
      <c r="Y54" s="388"/>
      <c r="Z54" s="388"/>
    </row>
    <row r="55">
      <c r="A55" s="385"/>
      <c r="B55" s="377" t="s">
        <v>420</v>
      </c>
      <c r="C55" s="243" t="s">
        <v>421</v>
      </c>
      <c r="D55" s="243">
        <v>84.12</v>
      </c>
      <c r="E55" s="246">
        <v>1.0</v>
      </c>
      <c r="F55" s="386"/>
      <c r="G55" s="235"/>
      <c r="H55" s="389"/>
      <c r="I55" s="377" t="s">
        <v>420</v>
      </c>
      <c r="J55" s="243" t="s">
        <v>421</v>
      </c>
      <c r="K55" s="243">
        <v>25.1</v>
      </c>
      <c r="L55" s="246">
        <v>0.335</v>
      </c>
      <c r="M55" s="386"/>
      <c r="N55" s="235"/>
      <c r="O55" s="388"/>
      <c r="P55" s="388"/>
      <c r="Q55" s="388"/>
      <c r="R55" s="388"/>
      <c r="S55" s="388"/>
      <c r="T55" s="388"/>
      <c r="U55" s="388"/>
      <c r="V55" s="388"/>
      <c r="W55" s="388"/>
      <c r="X55" s="388"/>
      <c r="Y55" s="388"/>
      <c r="Z55" s="388"/>
    </row>
    <row r="56">
      <c r="A56" s="28"/>
      <c r="B56" s="28"/>
      <c r="C56" s="28"/>
      <c r="D56" s="28"/>
      <c r="E56" s="28"/>
      <c r="F56" s="28"/>
      <c r="G56" s="28"/>
    </row>
    <row r="57" ht="26.25" customHeight="1">
      <c r="A57" s="142"/>
      <c r="B57" s="234" t="s">
        <v>273</v>
      </c>
      <c r="C57" s="235"/>
      <c r="D57" s="235"/>
      <c r="E57" s="235"/>
      <c r="F57" s="235"/>
      <c r="G57" s="235"/>
      <c r="H57" s="235"/>
      <c r="I57" s="235"/>
      <c r="J57" s="235"/>
      <c r="K57" s="235"/>
      <c r="L57" s="235"/>
      <c r="M57" s="235"/>
      <c r="N57" s="236"/>
      <c r="O57" s="146"/>
      <c r="P57" s="146"/>
      <c r="Q57" s="146"/>
      <c r="R57" s="146"/>
      <c r="S57" s="146"/>
      <c r="T57" s="146"/>
      <c r="U57" s="146"/>
      <c r="V57" s="146"/>
      <c r="W57" s="146"/>
      <c r="X57" s="146"/>
      <c r="Y57" s="146"/>
      <c r="Z57" s="146"/>
    </row>
    <row r="58" ht="25.5" customHeight="1">
      <c r="A58" s="147"/>
      <c r="B58" s="237" t="s">
        <v>274</v>
      </c>
      <c r="C58" s="235"/>
      <c r="D58" s="235"/>
      <c r="E58" s="235"/>
      <c r="F58" s="235"/>
      <c r="G58" s="236"/>
      <c r="H58" s="185"/>
      <c r="I58" s="152" t="s">
        <v>275</v>
      </c>
      <c r="J58" s="149"/>
      <c r="K58" s="149"/>
      <c r="L58" s="149"/>
      <c r="M58" s="149"/>
      <c r="N58" s="150"/>
      <c r="O58" s="153"/>
      <c r="P58" s="153"/>
      <c r="Q58" s="153"/>
      <c r="R58" s="153"/>
      <c r="S58" s="153"/>
      <c r="T58" s="153"/>
      <c r="U58" s="153"/>
      <c r="V58" s="153"/>
      <c r="W58" s="153"/>
      <c r="X58" s="153"/>
      <c r="Y58" s="153"/>
      <c r="Z58" s="153"/>
    </row>
    <row r="59">
      <c r="A59" s="28"/>
      <c r="B59" s="238" t="s">
        <v>258</v>
      </c>
      <c r="C59" s="238" t="s">
        <v>276</v>
      </c>
      <c r="D59" s="238" t="s">
        <v>260</v>
      </c>
      <c r="E59" s="376" t="s">
        <v>261</v>
      </c>
      <c r="F59" s="251" t="s">
        <v>244</v>
      </c>
      <c r="G59" s="252"/>
      <c r="H59" s="190"/>
      <c r="I59" s="239" t="s">
        <v>258</v>
      </c>
      <c r="J59" s="239" t="s">
        <v>276</v>
      </c>
      <c r="K59" s="239" t="s">
        <v>260</v>
      </c>
      <c r="L59" s="240" t="s">
        <v>261</v>
      </c>
      <c r="M59" s="241"/>
      <c r="N59" s="150"/>
    </row>
    <row r="60">
      <c r="A60" s="385"/>
      <c r="B60" s="377" t="s">
        <v>277</v>
      </c>
      <c r="C60" s="243" t="s">
        <v>814</v>
      </c>
      <c r="D60" s="243">
        <v>0.07</v>
      </c>
      <c r="E60" s="246">
        <v>0.1</v>
      </c>
      <c r="F60" s="391"/>
      <c r="G60" s="256"/>
      <c r="H60" s="387"/>
      <c r="I60" s="377" t="s">
        <v>277</v>
      </c>
      <c r="J60" s="243" t="s">
        <v>814</v>
      </c>
      <c r="K60" s="243">
        <v>0.2</v>
      </c>
      <c r="L60" s="246">
        <v>0.277</v>
      </c>
      <c r="M60" s="391"/>
      <c r="N60" s="256"/>
      <c r="O60" s="388"/>
      <c r="P60" s="388"/>
      <c r="Q60" s="388"/>
      <c r="R60" s="388"/>
      <c r="S60" s="388"/>
      <c r="T60" s="388"/>
      <c r="U60" s="388"/>
      <c r="V60" s="388"/>
      <c r="W60" s="388"/>
      <c r="X60" s="388"/>
      <c r="Y60" s="388"/>
      <c r="Z60" s="388"/>
    </row>
    <row r="61">
      <c r="A61" s="385"/>
      <c r="B61" s="377" t="s">
        <v>282</v>
      </c>
      <c r="C61" s="243" t="s">
        <v>283</v>
      </c>
      <c r="D61" s="243">
        <v>0.0</v>
      </c>
      <c r="E61" s="246">
        <v>0.0</v>
      </c>
      <c r="F61" s="386"/>
      <c r="G61" s="235"/>
      <c r="H61" s="387"/>
      <c r="I61" s="377" t="s">
        <v>282</v>
      </c>
      <c r="J61" s="243" t="s">
        <v>283</v>
      </c>
      <c r="K61" s="243">
        <v>0.001</v>
      </c>
      <c r="L61" s="246">
        <v>0.067</v>
      </c>
      <c r="M61" s="386"/>
      <c r="N61" s="235"/>
      <c r="O61" s="388"/>
      <c r="P61" s="388"/>
      <c r="Q61" s="388"/>
      <c r="R61" s="388"/>
      <c r="S61" s="388"/>
      <c r="T61" s="388"/>
      <c r="U61" s="388"/>
      <c r="V61" s="388"/>
      <c r="W61" s="388"/>
      <c r="X61" s="388"/>
      <c r="Y61" s="388"/>
      <c r="Z61" s="388"/>
    </row>
    <row r="62">
      <c r="A62" s="385"/>
      <c r="B62" s="377" t="s">
        <v>284</v>
      </c>
      <c r="C62" s="243" t="s">
        <v>285</v>
      </c>
      <c r="D62" s="243">
        <v>4.65</v>
      </c>
      <c r="E62" s="246">
        <v>0.31</v>
      </c>
      <c r="F62" s="386"/>
      <c r="G62" s="235"/>
      <c r="H62" s="387"/>
      <c r="I62" s="377" t="s">
        <v>284</v>
      </c>
      <c r="J62" s="243" t="s">
        <v>285</v>
      </c>
      <c r="K62" s="243">
        <v>5.5</v>
      </c>
      <c r="L62" s="246">
        <v>0.369</v>
      </c>
      <c r="M62" s="386"/>
      <c r="N62" s="235"/>
      <c r="O62" s="388"/>
      <c r="P62" s="388"/>
      <c r="Q62" s="388"/>
      <c r="R62" s="388"/>
      <c r="S62" s="388"/>
      <c r="T62" s="388"/>
      <c r="U62" s="388"/>
      <c r="V62" s="388"/>
      <c r="W62" s="388"/>
      <c r="X62" s="388"/>
      <c r="Y62" s="388"/>
      <c r="Z62" s="388"/>
    </row>
    <row r="63">
      <c r="A63" s="385"/>
      <c r="B63" s="377" t="s">
        <v>286</v>
      </c>
      <c r="C63" s="243">
        <v>0.09</v>
      </c>
      <c r="D63" s="243">
        <v>0.04</v>
      </c>
      <c r="E63" s="246">
        <v>0.4444444</v>
      </c>
      <c r="F63" s="386"/>
      <c r="G63" s="235"/>
      <c r="H63" s="387"/>
      <c r="I63" s="377" t="s">
        <v>286</v>
      </c>
      <c r="J63" s="243">
        <v>0.09</v>
      </c>
      <c r="K63" s="243">
        <v>0.029</v>
      </c>
      <c r="L63" s="246">
        <v>0.322</v>
      </c>
      <c r="M63" s="386"/>
      <c r="N63" s="235"/>
      <c r="O63" s="388"/>
      <c r="P63" s="388"/>
      <c r="Q63" s="388"/>
      <c r="R63" s="388"/>
      <c r="S63" s="388"/>
      <c r="T63" s="388"/>
      <c r="U63" s="388"/>
      <c r="V63" s="388"/>
      <c r="W63" s="388"/>
      <c r="X63" s="388"/>
      <c r="Y63" s="388"/>
      <c r="Z63" s="388"/>
    </row>
    <row r="64">
      <c r="A64" s="385"/>
      <c r="B64" s="377" t="s">
        <v>287</v>
      </c>
      <c r="C64" s="243">
        <v>1.1</v>
      </c>
      <c r="D64" s="243">
        <v>1.33</v>
      </c>
      <c r="E64" s="246">
        <v>1.0</v>
      </c>
      <c r="F64" s="386"/>
      <c r="G64" s="235"/>
      <c r="H64" s="387"/>
      <c r="I64" s="377" t="s">
        <v>287</v>
      </c>
      <c r="J64" s="243">
        <v>1.1</v>
      </c>
      <c r="K64" s="243">
        <v>1.2</v>
      </c>
      <c r="L64" s="246">
        <v>1.0</v>
      </c>
      <c r="M64" s="386"/>
      <c r="N64" s="235"/>
      <c r="O64" s="388"/>
      <c r="P64" s="388"/>
      <c r="Q64" s="388"/>
      <c r="R64" s="388"/>
      <c r="S64" s="388"/>
      <c r="T64" s="388"/>
      <c r="U64" s="388"/>
      <c r="V64" s="388"/>
      <c r="W64" s="388"/>
      <c r="X64" s="388"/>
      <c r="Y64" s="388"/>
      <c r="Z64" s="388"/>
    </row>
    <row r="65">
      <c r="A65" s="385"/>
      <c r="B65" s="377" t="s">
        <v>288</v>
      </c>
      <c r="C65" s="243">
        <v>1.1</v>
      </c>
      <c r="D65" s="243">
        <v>1.62</v>
      </c>
      <c r="E65" s="246">
        <v>1.0</v>
      </c>
      <c r="F65" s="386"/>
      <c r="G65" s="235"/>
      <c r="H65" s="387"/>
      <c r="I65" s="377" t="s">
        <v>288</v>
      </c>
      <c r="J65" s="243">
        <v>1.1</v>
      </c>
      <c r="K65" s="243">
        <v>1.0</v>
      </c>
      <c r="L65" s="246">
        <v>0.949</v>
      </c>
      <c r="M65" s="386"/>
      <c r="N65" s="235"/>
      <c r="O65" s="388"/>
      <c r="P65" s="388"/>
      <c r="Q65" s="388"/>
      <c r="R65" s="388"/>
      <c r="S65" s="388"/>
      <c r="T65" s="388"/>
      <c r="U65" s="388"/>
      <c r="V65" s="388"/>
      <c r="W65" s="388"/>
      <c r="X65" s="388"/>
      <c r="Y65" s="388"/>
      <c r="Z65" s="388"/>
    </row>
    <row r="66">
      <c r="A66" s="385"/>
      <c r="B66" s="377" t="s">
        <v>289</v>
      </c>
      <c r="C66" s="243" t="s">
        <v>718</v>
      </c>
      <c r="D66" s="243">
        <v>27.88</v>
      </c>
      <c r="E66" s="246">
        <v>1.0</v>
      </c>
      <c r="F66" s="386"/>
      <c r="G66" s="235"/>
      <c r="H66" s="387"/>
      <c r="I66" s="377" t="s">
        <v>289</v>
      </c>
      <c r="J66" s="243" t="s">
        <v>718</v>
      </c>
      <c r="K66" s="243">
        <v>12.7</v>
      </c>
      <c r="L66" s="246">
        <v>0.906</v>
      </c>
      <c r="M66" s="386"/>
      <c r="N66" s="235"/>
      <c r="O66" s="388"/>
      <c r="P66" s="388"/>
      <c r="Q66" s="388"/>
      <c r="R66" s="388"/>
      <c r="S66" s="388"/>
      <c r="T66" s="388"/>
      <c r="U66" s="388"/>
      <c r="V66" s="388"/>
      <c r="W66" s="388"/>
      <c r="X66" s="388"/>
      <c r="Y66" s="388"/>
      <c r="Z66" s="388"/>
    </row>
    <row r="67">
      <c r="A67" s="385"/>
      <c r="B67" s="377" t="s">
        <v>291</v>
      </c>
      <c r="C67" s="243">
        <v>5.0</v>
      </c>
      <c r="D67" s="243">
        <v>5.52</v>
      </c>
      <c r="E67" s="246">
        <v>1.0</v>
      </c>
      <c r="F67" s="386"/>
      <c r="G67" s="235"/>
      <c r="H67" s="387"/>
      <c r="I67" s="377" t="s">
        <v>291</v>
      </c>
      <c r="J67" s="243">
        <v>5.0</v>
      </c>
      <c r="K67" s="243">
        <v>2.8</v>
      </c>
      <c r="L67" s="246">
        <v>0.552</v>
      </c>
      <c r="M67" s="386"/>
      <c r="N67" s="235"/>
      <c r="O67" s="388"/>
      <c r="P67" s="388"/>
      <c r="Q67" s="388"/>
      <c r="R67" s="388"/>
      <c r="S67" s="388"/>
      <c r="T67" s="388"/>
      <c r="U67" s="388"/>
      <c r="V67" s="388"/>
      <c r="W67" s="388"/>
      <c r="X67" s="388"/>
      <c r="Y67" s="388"/>
      <c r="Z67" s="388"/>
    </row>
    <row r="68">
      <c r="A68" s="385"/>
      <c r="B68" s="377" t="s">
        <v>292</v>
      </c>
      <c r="C68" s="243" t="s">
        <v>816</v>
      </c>
      <c r="D68" s="243">
        <v>2.13</v>
      </c>
      <c r="E68" s="246">
        <v>1.0</v>
      </c>
      <c r="F68" s="386"/>
      <c r="G68" s="235"/>
      <c r="H68" s="387"/>
      <c r="I68" s="377" t="s">
        <v>292</v>
      </c>
      <c r="J68" s="243" t="s">
        <v>816</v>
      </c>
      <c r="K68" s="243">
        <v>1.3</v>
      </c>
      <c r="L68" s="246">
        <v>0.873</v>
      </c>
      <c r="M68" s="386"/>
      <c r="N68" s="235"/>
      <c r="O68" s="388"/>
      <c r="P68" s="388"/>
      <c r="Q68" s="388"/>
      <c r="R68" s="388"/>
      <c r="S68" s="388"/>
      <c r="T68" s="388"/>
      <c r="U68" s="388"/>
      <c r="V68" s="388"/>
      <c r="W68" s="388"/>
      <c r="X68" s="388"/>
      <c r="Y68" s="388"/>
      <c r="Z68" s="388"/>
    </row>
    <row r="69">
      <c r="A69" s="385"/>
      <c r="B69" s="377" t="s">
        <v>294</v>
      </c>
      <c r="C69" s="243" t="s">
        <v>719</v>
      </c>
      <c r="D69" s="243">
        <v>0.59</v>
      </c>
      <c r="E69" s="246">
        <v>1.0</v>
      </c>
      <c r="F69" s="386"/>
      <c r="G69" s="235"/>
      <c r="H69" s="387"/>
      <c r="I69" s="377" t="s">
        <v>294</v>
      </c>
      <c r="J69" s="243" t="s">
        <v>719</v>
      </c>
      <c r="K69" s="243">
        <v>0.4</v>
      </c>
      <c r="L69" s="246">
        <v>1.0</v>
      </c>
      <c r="M69" s="386"/>
      <c r="N69" s="235"/>
      <c r="O69" s="388"/>
      <c r="P69" s="388"/>
      <c r="Q69" s="388"/>
      <c r="R69" s="388"/>
      <c r="S69" s="388"/>
      <c r="T69" s="388"/>
      <c r="U69" s="388"/>
      <c r="V69" s="388"/>
      <c r="W69" s="388"/>
      <c r="X69" s="388"/>
      <c r="Y69" s="388"/>
      <c r="Z69" s="388"/>
    </row>
    <row r="70">
      <c r="A70" s="385"/>
      <c r="B70" s="377" t="s">
        <v>296</v>
      </c>
      <c r="C70" s="243">
        <v>0.0024</v>
      </c>
      <c r="D70" s="243">
        <v>0.48</v>
      </c>
      <c r="E70" s="246">
        <v>1.0</v>
      </c>
      <c r="F70" s="386"/>
      <c r="G70" s="235"/>
      <c r="H70" s="387"/>
      <c r="I70" s="377" t="s">
        <v>296</v>
      </c>
      <c r="J70" s="243">
        <v>0.0024</v>
      </c>
      <c r="K70" s="243">
        <v>6.0E-4</v>
      </c>
      <c r="L70" s="246">
        <v>0.25</v>
      </c>
      <c r="M70" s="386"/>
      <c r="N70" s="235"/>
      <c r="O70" s="388"/>
      <c r="P70" s="388"/>
      <c r="Q70" s="388"/>
      <c r="R70" s="388"/>
      <c r="S70" s="388"/>
      <c r="T70" s="388"/>
      <c r="U70" s="388"/>
      <c r="V70" s="388"/>
      <c r="W70" s="388"/>
      <c r="X70" s="388"/>
      <c r="Y70" s="388"/>
      <c r="Z70" s="388"/>
    </row>
    <row r="71">
      <c r="A71" s="385"/>
      <c r="B71" s="377" t="s">
        <v>299</v>
      </c>
      <c r="C71" s="243" t="s">
        <v>300</v>
      </c>
      <c r="D71" s="243">
        <v>22.06</v>
      </c>
      <c r="E71" s="246">
        <v>1.0</v>
      </c>
      <c r="F71" s="386"/>
      <c r="G71" s="235"/>
      <c r="H71" s="387"/>
      <c r="I71" s="377" t="s">
        <v>299</v>
      </c>
      <c r="J71" s="243" t="s">
        <v>300</v>
      </c>
      <c r="K71" s="243">
        <v>16.1</v>
      </c>
      <c r="L71" s="246">
        <v>1.0</v>
      </c>
      <c r="M71" s="386"/>
      <c r="N71" s="235"/>
      <c r="O71" s="388"/>
      <c r="P71" s="388"/>
      <c r="Q71" s="388"/>
      <c r="R71" s="388"/>
      <c r="S71" s="388"/>
      <c r="T71" s="388"/>
      <c r="U71" s="388"/>
      <c r="V71" s="388"/>
      <c r="W71" s="388"/>
      <c r="X71" s="388"/>
      <c r="Y71" s="388"/>
      <c r="Z71" s="388"/>
    </row>
    <row r="72">
      <c r="A72" s="385"/>
      <c r="B72" s="377" t="s">
        <v>305</v>
      </c>
      <c r="C72" s="243" t="s">
        <v>817</v>
      </c>
      <c r="D72" s="243">
        <v>8.94</v>
      </c>
      <c r="E72" s="246">
        <v>1.0</v>
      </c>
      <c r="F72" s="386"/>
      <c r="G72" s="235"/>
      <c r="H72" s="387"/>
      <c r="I72" s="377" t="s">
        <v>305</v>
      </c>
      <c r="J72" s="243" t="s">
        <v>817</v>
      </c>
      <c r="K72" s="243">
        <v>7.0</v>
      </c>
      <c r="L72" s="246">
        <v>0.88</v>
      </c>
      <c r="M72" s="386"/>
      <c r="N72" s="235"/>
      <c r="O72" s="388"/>
      <c r="P72" s="388"/>
      <c r="Q72" s="388"/>
      <c r="R72" s="388"/>
      <c r="S72" s="388"/>
      <c r="T72" s="388"/>
      <c r="U72" s="388"/>
      <c r="V72" s="388"/>
      <c r="W72" s="388"/>
      <c r="X72" s="388"/>
      <c r="Y72" s="388"/>
      <c r="Z72" s="388"/>
    </row>
    <row r="73">
      <c r="A73" s="385"/>
      <c r="B73" s="377" t="s">
        <v>307</v>
      </c>
      <c r="C73" s="243" t="s">
        <v>308</v>
      </c>
      <c r="D73" s="243">
        <v>3.75</v>
      </c>
      <c r="E73" s="246">
        <v>1.0</v>
      </c>
      <c r="F73" s="386"/>
      <c r="G73" s="235"/>
      <c r="H73" s="387"/>
      <c r="I73" s="377" t="s">
        <v>307</v>
      </c>
      <c r="J73" s="243" t="s">
        <v>308</v>
      </c>
      <c r="K73" s="243">
        <v>1.5</v>
      </c>
      <c r="L73" s="246">
        <v>1.0</v>
      </c>
      <c r="M73" s="386"/>
      <c r="N73" s="235"/>
      <c r="O73" s="388"/>
      <c r="P73" s="388"/>
      <c r="Q73" s="388"/>
      <c r="R73" s="388"/>
      <c r="S73" s="388"/>
      <c r="T73" s="388"/>
      <c r="U73" s="388"/>
      <c r="V73" s="388"/>
      <c r="W73" s="388"/>
      <c r="X73" s="388"/>
      <c r="Y73" s="388"/>
      <c r="Z73" s="388"/>
    </row>
    <row r="74">
      <c r="A74" s="385"/>
      <c r="B74" s="377" t="s">
        <v>309</v>
      </c>
      <c r="C74" s="243" t="s">
        <v>720</v>
      </c>
      <c r="D74" s="243">
        <v>4.07</v>
      </c>
      <c r="E74" s="246">
        <v>1.0</v>
      </c>
      <c r="F74" s="386"/>
      <c r="G74" s="235"/>
      <c r="H74" s="387"/>
      <c r="I74" s="377" t="s">
        <v>309</v>
      </c>
      <c r="J74" s="243" t="s">
        <v>720</v>
      </c>
      <c r="K74" s="243">
        <v>4.5</v>
      </c>
      <c r="L74" s="246">
        <v>1.0</v>
      </c>
      <c r="M74" s="386"/>
      <c r="N74" s="235"/>
      <c r="O74" s="388"/>
      <c r="P74" s="388"/>
      <c r="Q74" s="388"/>
      <c r="R74" s="388"/>
      <c r="S74" s="388"/>
      <c r="T74" s="388"/>
      <c r="U74" s="388"/>
      <c r="V74" s="388"/>
      <c r="W74" s="388"/>
      <c r="X74" s="388"/>
      <c r="Y74" s="388"/>
      <c r="Z74" s="388"/>
    </row>
    <row r="75">
      <c r="A75" s="385"/>
      <c r="B75" s="377" t="s">
        <v>311</v>
      </c>
      <c r="C75" s="243" t="s">
        <v>312</v>
      </c>
      <c r="D75" s="243">
        <v>0.09</v>
      </c>
      <c r="E75" s="246">
        <v>1.0</v>
      </c>
      <c r="F75" s="386"/>
      <c r="G75" s="235"/>
      <c r="H75" s="387"/>
      <c r="I75" s="377" t="s">
        <v>311</v>
      </c>
      <c r="J75" s="243" t="s">
        <v>312</v>
      </c>
      <c r="K75" s="243">
        <v>0.0345</v>
      </c>
      <c r="L75" s="246">
        <v>0.627</v>
      </c>
      <c r="M75" s="386"/>
      <c r="N75" s="235"/>
      <c r="O75" s="388"/>
      <c r="P75" s="388"/>
      <c r="Q75" s="388"/>
      <c r="R75" s="388"/>
      <c r="S75" s="388"/>
      <c r="T75" s="388"/>
      <c r="U75" s="388"/>
      <c r="V75" s="388"/>
      <c r="W75" s="388"/>
      <c r="X75" s="388"/>
      <c r="Y75" s="388"/>
      <c r="Z75" s="388"/>
    </row>
    <row r="76">
      <c r="A76" s="385"/>
      <c r="B76" s="377" t="s">
        <v>167</v>
      </c>
      <c r="C76" s="243">
        <v>2700.0</v>
      </c>
      <c r="D76" s="243">
        <v>610.55</v>
      </c>
      <c r="E76" s="246">
        <v>0.2261296</v>
      </c>
      <c r="F76" s="386"/>
      <c r="G76" s="235"/>
      <c r="H76" s="387"/>
      <c r="I76" s="377" t="s">
        <v>167</v>
      </c>
      <c r="J76" s="243">
        <v>2700.0</v>
      </c>
      <c r="K76" s="243">
        <v>544.6</v>
      </c>
      <c r="L76" s="246">
        <v>0.202</v>
      </c>
      <c r="M76" s="386"/>
      <c r="N76" s="235"/>
      <c r="O76" s="388"/>
      <c r="P76" s="388"/>
      <c r="Q76" s="388"/>
      <c r="R76" s="388"/>
      <c r="S76" s="388"/>
      <c r="T76" s="388"/>
      <c r="U76" s="388"/>
      <c r="V76" s="388"/>
      <c r="W76" s="388"/>
      <c r="X76" s="388"/>
      <c r="Y76" s="388"/>
      <c r="Z76" s="388"/>
    </row>
    <row r="77">
      <c r="A77" s="28"/>
    </row>
    <row r="78" ht="26.25" customHeight="1">
      <c r="A78" s="142"/>
      <c r="B78" s="261" t="s">
        <v>314</v>
      </c>
      <c r="C78" s="262"/>
      <c r="D78" s="262"/>
      <c r="E78" s="262"/>
      <c r="F78" s="262"/>
      <c r="G78" s="262"/>
      <c r="H78" s="262"/>
      <c r="I78" s="262"/>
      <c r="J78" s="262"/>
      <c r="K78" s="262"/>
      <c r="L78" s="262"/>
      <c r="M78" s="262"/>
      <c r="N78" s="263"/>
      <c r="O78" s="146"/>
      <c r="P78" s="146"/>
      <c r="Q78" s="146"/>
      <c r="R78" s="146"/>
      <c r="S78" s="146"/>
      <c r="T78" s="146"/>
      <c r="U78" s="146"/>
      <c r="V78" s="146"/>
      <c r="W78" s="146"/>
      <c r="X78" s="146"/>
      <c r="Y78" s="146"/>
      <c r="Z78" s="146"/>
    </row>
    <row r="79">
      <c r="A79" s="28"/>
      <c r="B79" s="264" t="s">
        <v>315</v>
      </c>
      <c r="C79" s="262"/>
      <c r="D79" s="262"/>
      <c r="E79" s="262"/>
      <c r="F79" s="262"/>
      <c r="G79" s="262"/>
      <c r="H79" s="262"/>
      <c r="I79" s="262"/>
      <c r="J79" s="262"/>
      <c r="K79" s="262"/>
      <c r="L79" s="262"/>
      <c r="M79" s="262"/>
      <c r="N79" s="263"/>
    </row>
    <row r="80">
      <c r="A80" s="28"/>
      <c r="B80" s="265" t="s">
        <v>316</v>
      </c>
      <c r="C80" s="266" t="s">
        <v>317</v>
      </c>
      <c r="D80" s="266" t="s">
        <v>318</v>
      </c>
      <c r="E80" s="267" t="s">
        <v>319</v>
      </c>
      <c r="F80" s="268" t="s">
        <v>320</v>
      </c>
      <c r="G80" s="269" t="s">
        <v>321</v>
      </c>
      <c r="H80" s="164"/>
      <c r="I80" s="270" t="s">
        <v>316</v>
      </c>
      <c r="J80" s="271" t="s">
        <v>317</v>
      </c>
      <c r="K80" s="271" t="s">
        <v>318</v>
      </c>
      <c r="L80" s="272" t="s">
        <v>319</v>
      </c>
      <c r="M80" s="273" t="s">
        <v>322</v>
      </c>
      <c r="N80" s="274" t="s">
        <v>323</v>
      </c>
    </row>
    <row r="81">
      <c r="A81" s="28"/>
      <c r="B81" s="275" t="s">
        <v>94</v>
      </c>
      <c r="C81" s="276" t="s">
        <v>324</v>
      </c>
      <c r="D81" s="277" t="s">
        <v>325</v>
      </c>
      <c r="E81" s="278">
        <v>3.0</v>
      </c>
      <c r="F81" s="279" t="str">
        <f t="shared" ref="F81:F89" si="2">IF(ISBLANK(E81),"— Belum diisi",IF(E81=1,"Sangat Tidak Sesuai",IF(E81=2,"Tidak Sesuai",IF(E81=3,"Cukup Sesuai",IF(E81=4,"Sesuai",IF(E81=5,"Sangat Sesuai","—"))))))</f>
        <v>Cukup Sesuai</v>
      </c>
      <c r="G81" s="280" t="s">
        <v>862</v>
      </c>
      <c r="H81" s="164"/>
      <c r="I81" s="281" t="s">
        <v>94</v>
      </c>
      <c r="J81" s="282" t="s">
        <v>324</v>
      </c>
      <c r="K81" s="283" t="s">
        <v>325</v>
      </c>
      <c r="L81" s="171">
        <v>3.0</v>
      </c>
      <c r="M81" s="285" t="str">
        <f t="shared" ref="M81:M89" si="3">IF(ISBLANK(L81),"— Belum diisi",IF(L81=1,"Sangat Tidak Sesuai",IF(L81=2,"Tidak Sesuai",IF(L81=3,"Cukup Sesuai",IF(L81=4,"Sesuai",IF(L81=5,"Sangat Sesuai","—"))))))</f>
        <v>Cukup Sesuai</v>
      </c>
      <c r="N81" s="280" t="s">
        <v>862</v>
      </c>
    </row>
    <row r="82">
      <c r="A82" s="28"/>
      <c r="B82" s="275" t="s">
        <v>95</v>
      </c>
      <c r="C82" s="286" t="s">
        <v>327</v>
      </c>
      <c r="D82" s="287" t="s">
        <v>328</v>
      </c>
      <c r="E82" s="278">
        <v>3.0</v>
      </c>
      <c r="F82" s="288" t="str">
        <f t="shared" si="2"/>
        <v>Cukup Sesuai</v>
      </c>
      <c r="G82" s="297"/>
      <c r="H82" s="164"/>
      <c r="I82" s="281" t="s">
        <v>95</v>
      </c>
      <c r="J82" s="286" t="s">
        <v>327</v>
      </c>
      <c r="K82" s="287" t="s">
        <v>328</v>
      </c>
      <c r="L82" s="171">
        <v>3.0</v>
      </c>
      <c r="M82" s="288" t="str">
        <f t="shared" si="3"/>
        <v>Cukup Sesuai</v>
      </c>
      <c r="N82" s="297"/>
    </row>
    <row r="83">
      <c r="A83" s="28"/>
      <c r="B83" s="275" t="s">
        <v>96</v>
      </c>
      <c r="C83" s="276" t="s">
        <v>330</v>
      </c>
      <c r="D83" s="277" t="s">
        <v>331</v>
      </c>
      <c r="E83" s="278">
        <v>3.0</v>
      </c>
      <c r="F83" s="279" t="str">
        <f t="shared" si="2"/>
        <v>Cukup Sesuai</v>
      </c>
      <c r="G83" s="297"/>
      <c r="H83" s="164"/>
      <c r="I83" s="281" t="s">
        <v>96</v>
      </c>
      <c r="J83" s="282" t="s">
        <v>330</v>
      </c>
      <c r="K83" s="289" t="s">
        <v>331</v>
      </c>
      <c r="L83" s="171">
        <v>3.0</v>
      </c>
      <c r="M83" s="290" t="str">
        <f t="shared" si="3"/>
        <v>Cukup Sesuai</v>
      </c>
      <c r="N83" s="297"/>
    </row>
    <row r="84">
      <c r="A84" s="28"/>
      <c r="B84" s="275" t="s">
        <v>97</v>
      </c>
      <c r="C84" s="286" t="s">
        <v>334</v>
      </c>
      <c r="D84" s="287" t="s">
        <v>335</v>
      </c>
      <c r="E84" s="278">
        <v>4.0</v>
      </c>
      <c r="F84" s="288" t="str">
        <f t="shared" si="2"/>
        <v>Sesuai</v>
      </c>
      <c r="G84" s="297"/>
      <c r="H84" s="164"/>
      <c r="I84" s="281" t="s">
        <v>97</v>
      </c>
      <c r="J84" s="286" t="s">
        <v>334</v>
      </c>
      <c r="K84" s="287" t="s">
        <v>335</v>
      </c>
      <c r="L84" s="171">
        <v>3.0</v>
      </c>
      <c r="M84" s="288" t="str">
        <f t="shared" si="3"/>
        <v>Cukup Sesuai</v>
      </c>
      <c r="N84" s="280" t="s">
        <v>863</v>
      </c>
    </row>
    <row r="85">
      <c r="A85" s="28"/>
      <c r="B85" s="275" t="s">
        <v>98</v>
      </c>
      <c r="C85" s="276" t="s">
        <v>336</v>
      </c>
      <c r="D85" s="277" t="s">
        <v>337</v>
      </c>
      <c r="E85" s="278">
        <v>3.0</v>
      </c>
      <c r="F85" s="279" t="str">
        <f t="shared" si="2"/>
        <v>Cukup Sesuai</v>
      </c>
      <c r="G85" s="280" t="s">
        <v>864</v>
      </c>
      <c r="H85" s="164"/>
      <c r="I85" s="281" t="s">
        <v>98</v>
      </c>
      <c r="J85" s="282" t="s">
        <v>336</v>
      </c>
      <c r="K85" s="289" t="s">
        <v>337</v>
      </c>
      <c r="L85" s="171">
        <v>3.0</v>
      </c>
      <c r="M85" s="290" t="str">
        <f t="shared" si="3"/>
        <v>Cukup Sesuai</v>
      </c>
      <c r="N85" s="280" t="s">
        <v>865</v>
      </c>
    </row>
    <row r="86">
      <c r="A86" s="28"/>
      <c r="B86" s="291" t="s">
        <v>99</v>
      </c>
      <c r="C86" s="286" t="s">
        <v>339</v>
      </c>
      <c r="D86" s="287" t="s">
        <v>340</v>
      </c>
      <c r="E86" s="278">
        <v>3.0</v>
      </c>
      <c r="F86" s="288" t="str">
        <f t="shared" si="2"/>
        <v>Cukup Sesuai</v>
      </c>
      <c r="G86" s="280" t="s">
        <v>866</v>
      </c>
      <c r="H86" s="164"/>
      <c r="I86" s="292" t="s">
        <v>99</v>
      </c>
      <c r="J86" s="286" t="s">
        <v>339</v>
      </c>
      <c r="K86" s="287" t="s">
        <v>340</v>
      </c>
      <c r="L86" s="171">
        <v>3.0</v>
      </c>
      <c r="M86" s="288" t="str">
        <f t="shared" si="3"/>
        <v>Cukup Sesuai</v>
      </c>
      <c r="N86" s="280" t="s">
        <v>867</v>
      </c>
    </row>
    <row r="87">
      <c r="A87" s="28"/>
      <c r="B87" s="293" t="s">
        <v>100</v>
      </c>
      <c r="C87" s="276" t="s">
        <v>343</v>
      </c>
      <c r="D87" s="277" t="s">
        <v>344</v>
      </c>
      <c r="E87" s="278">
        <v>3.0</v>
      </c>
      <c r="F87" s="279" t="str">
        <f t="shared" si="2"/>
        <v>Cukup Sesuai</v>
      </c>
      <c r="G87" s="280" t="s">
        <v>345</v>
      </c>
      <c r="H87" s="164"/>
      <c r="I87" s="294" t="s">
        <v>100</v>
      </c>
      <c r="J87" s="282" t="s">
        <v>343</v>
      </c>
      <c r="K87" s="289" t="s">
        <v>344</v>
      </c>
      <c r="L87" s="171">
        <v>3.0</v>
      </c>
      <c r="M87" s="290" t="str">
        <f t="shared" si="3"/>
        <v>Cukup Sesuai</v>
      </c>
      <c r="N87" s="280" t="s">
        <v>345</v>
      </c>
    </row>
    <row r="88">
      <c r="A88" s="28"/>
      <c r="B88" s="295" t="s">
        <v>101</v>
      </c>
      <c r="C88" s="286" t="s">
        <v>346</v>
      </c>
      <c r="D88" s="287" t="s">
        <v>347</v>
      </c>
      <c r="E88" s="278">
        <v>3.0</v>
      </c>
      <c r="F88" s="288" t="str">
        <f t="shared" si="2"/>
        <v>Cukup Sesuai</v>
      </c>
      <c r="G88" s="278" t="s">
        <v>868</v>
      </c>
      <c r="H88" s="164"/>
      <c r="I88" s="296" t="s">
        <v>101</v>
      </c>
      <c r="J88" s="286" t="s">
        <v>346</v>
      </c>
      <c r="K88" s="287" t="s">
        <v>347</v>
      </c>
      <c r="L88" s="171">
        <v>4.0</v>
      </c>
      <c r="M88" s="288" t="str">
        <f t="shared" si="3"/>
        <v>Sesuai</v>
      </c>
      <c r="N88" s="297"/>
    </row>
    <row r="89">
      <c r="A89" s="28"/>
      <c r="B89" s="298" t="s">
        <v>102</v>
      </c>
      <c r="C89" s="276" t="s">
        <v>349</v>
      </c>
      <c r="D89" s="277" t="s">
        <v>350</v>
      </c>
      <c r="E89" s="278">
        <v>4.0</v>
      </c>
      <c r="F89" s="279" t="str">
        <f t="shared" si="2"/>
        <v>Sesuai</v>
      </c>
      <c r="G89" s="297"/>
      <c r="H89" s="164"/>
      <c r="I89" s="299" t="s">
        <v>102</v>
      </c>
      <c r="J89" s="282" t="s">
        <v>349</v>
      </c>
      <c r="K89" s="289" t="s">
        <v>350</v>
      </c>
      <c r="L89" s="171">
        <v>4.0</v>
      </c>
      <c r="M89" s="290" t="str">
        <f t="shared" si="3"/>
        <v>Sesuai</v>
      </c>
      <c r="N89" s="297"/>
    </row>
    <row r="90">
      <c r="A90" s="28"/>
      <c r="B90" s="300" t="s">
        <v>351</v>
      </c>
      <c r="C90" s="301"/>
      <c r="D90" s="27"/>
      <c r="E90" s="302">
        <f>IFERROR(AVERAGE(E81,E82,E83,E84,E85,E86,E87,E88,E89),"—")</f>
        <v>3.222222222</v>
      </c>
      <c r="F90" s="303" t="str">
        <f>IF(ISNUMBER(E90),IF(E90&lt;2,"Sangat Tidak Sesuai",IF(E90&lt;3,"Tidak Sesuai",IF(E90&lt;4,"Cukup Sesuai",IF(E90&lt;4.6,"Sesuai","Sangat Sesuai")))),"—")</f>
        <v>Cukup Sesuai</v>
      </c>
      <c r="G90" s="3"/>
      <c r="H90" s="164"/>
      <c r="I90" s="304" t="s">
        <v>351</v>
      </c>
      <c r="J90" s="301"/>
      <c r="K90" s="27"/>
      <c r="L90" s="294">
        <f>IFERROR(AVERAGE(L81,L82,L83,L84,L85,L86,L87,L88,L89),"—")</f>
        <v>3.222222222</v>
      </c>
      <c r="M90" s="305" t="str">
        <f>IF(ISNUMBER(L90),IF(L90&lt;2,"Sangat Tidak Sesuai",IF(L90&lt;3,"Tidak Sesuai",IF(L90&lt;4,"Cukup Sesuai",IF(L90&lt;4.6,"Sesuai","Sangat Sesuai")))),"—")</f>
        <v>Cukup Sesuai</v>
      </c>
      <c r="N90" s="3"/>
    </row>
    <row r="91">
      <c r="A91" s="28"/>
      <c r="B91" s="306"/>
    </row>
    <row r="92" ht="26.25" customHeight="1">
      <c r="A92" s="142"/>
      <c r="B92" s="307" t="s">
        <v>352</v>
      </c>
      <c r="C92" s="170"/>
      <c r="D92" s="170"/>
      <c r="E92" s="170"/>
      <c r="F92" s="170"/>
      <c r="G92" s="170"/>
      <c r="H92" s="170"/>
      <c r="I92" s="170"/>
      <c r="J92" s="170"/>
      <c r="K92" s="170"/>
      <c r="L92" s="170"/>
      <c r="M92" s="170"/>
      <c r="N92" s="308"/>
      <c r="O92" s="146"/>
      <c r="P92" s="146"/>
      <c r="Q92" s="146"/>
      <c r="R92" s="146"/>
      <c r="S92" s="146"/>
      <c r="T92" s="146"/>
      <c r="U92" s="146"/>
      <c r="V92" s="146"/>
      <c r="W92" s="146"/>
      <c r="X92" s="146"/>
      <c r="Y92" s="146"/>
      <c r="Z92" s="146"/>
    </row>
    <row r="93" ht="25.5" customHeight="1">
      <c r="A93" s="147"/>
      <c r="B93" s="309" t="s">
        <v>353</v>
      </c>
      <c r="C93" s="310"/>
      <c r="D93" s="310"/>
      <c r="E93" s="310"/>
      <c r="F93" s="310"/>
      <c r="G93" s="311"/>
      <c r="H93" s="312"/>
      <c r="I93" s="313" t="s">
        <v>354</v>
      </c>
      <c r="J93" s="30"/>
      <c r="K93" s="30"/>
      <c r="L93" s="30"/>
      <c r="M93" s="30"/>
      <c r="N93" s="3"/>
      <c r="O93" s="153"/>
      <c r="P93" s="153"/>
      <c r="Q93" s="153"/>
      <c r="R93" s="153"/>
      <c r="S93" s="153"/>
      <c r="T93" s="153"/>
      <c r="U93" s="153"/>
      <c r="V93" s="153"/>
      <c r="W93" s="153"/>
      <c r="X93" s="153"/>
      <c r="Y93" s="153"/>
      <c r="Z93" s="153"/>
    </row>
    <row r="94">
      <c r="A94" s="28"/>
      <c r="B94" s="314" t="s">
        <v>355</v>
      </c>
      <c r="C94" s="315"/>
      <c r="D94" s="315"/>
      <c r="E94" s="315"/>
      <c r="F94" s="315"/>
      <c r="G94" s="316"/>
      <c r="H94" s="260"/>
      <c r="I94" s="317" t="s">
        <v>355</v>
      </c>
      <c r="J94" s="30"/>
      <c r="K94" s="30"/>
      <c r="L94" s="30"/>
      <c r="M94" s="30"/>
      <c r="N94" s="3"/>
    </row>
    <row r="95">
      <c r="A95" s="28"/>
      <c r="B95" s="318" t="s">
        <v>356</v>
      </c>
      <c r="H95" s="260"/>
      <c r="I95" s="319" t="s">
        <v>356</v>
      </c>
      <c r="J95" s="30"/>
      <c r="K95" s="30"/>
      <c r="L95" s="30"/>
      <c r="M95" s="30"/>
      <c r="N95" s="3"/>
    </row>
    <row r="96">
      <c r="A96" s="28"/>
      <c r="B96" s="438" t="s">
        <v>869</v>
      </c>
      <c r="G96" s="321"/>
      <c r="H96" s="439"/>
      <c r="I96" s="464"/>
      <c r="J96" s="324"/>
      <c r="K96" s="324"/>
      <c r="L96" s="324"/>
      <c r="M96" s="324"/>
      <c r="N96" s="325"/>
    </row>
    <row r="97">
      <c r="A97" s="28"/>
      <c r="B97" s="326"/>
      <c r="G97" s="321"/>
      <c r="H97" s="439"/>
      <c r="I97" s="327"/>
      <c r="N97" s="328"/>
    </row>
    <row r="98">
      <c r="A98" s="28"/>
      <c r="B98" s="326"/>
      <c r="G98" s="321"/>
      <c r="H98" s="439"/>
      <c r="I98" s="327"/>
      <c r="N98" s="328"/>
    </row>
    <row r="99">
      <c r="A99" s="28"/>
      <c r="B99" s="329"/>
      <c r="C99" s="330"/>
      <c r="D99" s="330"/>
      <c r="E99" s="330"/>
      <c r="F99" s="330"/>
      <c r="G99" s="331"/>
      <c r="H99" s="439"/>
      <c r="I99" s="332"/>
      <c r="J99" s="333"/>
      <c r="K99" s="333"/>
      <c r="L99" s="333"/>
      <c r="M99" s="333"/>
      <c r="N99" s="334"/>
    </row>
    <row r="100">
      <c r="A100" s="28"/>
      <c r="B100" s="28"/>
      <c r="C100" s="28"/>
      <c r="D100" s="28"/>
      <c r="E100" s="28"/>
      <c r="F100" s="28"/>
      <c r="G100" s="28"/>
    </row>
    <row r="101">
      <c r="A101" s="28"/>
      <c r="B101" s="335" t="s">
        <v>358</v>
      </c>
      <c r="C101" s="144"/>
      <c r="D101" s="144"/>
      <c r="E101" s="144"/>
      <c r="F101" s="144"/>
      <c r="G101" s="145"/>
      <c r="H101" s="164"/>
      <c r="I101" s="336" t="s">
        <v>358</v>
      </c>
      <c r="J101" s="30"/>
      <c r="K101" s="30"/>
      <c r="L101" s="30"/>
      <c r="M101" s="30"/>
      <c r="N101" s="3"/>
    </row>
    <row r="102">
      <c r="A102" s="28"/>
      <c r="B102" s="337" t="s">
        <v>359</v>
      </c>
      <c r="H102" s="260"/>
      <c r="I102" s="338" t="s">
        <v>359</v>
      </c>
      <c r="J102" s="30"/>
      <c r="K102" s="30"/>
      <c r="L102" s="30"/>
      <c r="M102" s="30"/>
      <c r="N102" s="3"/>
    </row>
    <row r="103">
      <c r="A103" s="28"/>
      <c r="B103" s="339" t="s">
        <v>613</v>
      </c>
      <c r="G103" s="328"/>
      <c r="H103" s="443"/>
      <c r="I103" s="444" t="s">
        <v>613</v>
      </c>
      <c r="J103" s="324"/>
      <c r="K103" s="324"/>
      <c r="L103" s="324"/>
      <c r="M103" s="324"/>
      <c r="N103" s="325"/>
    </row>
    <row r="104">
      <c r="A104" s="28"/>
      <c r="B104" s="342"/>
      <c r="G104" s="328"/>
      <c r="H104" s="443"/>
      <c r="I104" s="327"/>
      <c r="N104" s="328"/>
    </row>
    <row r="105">
      <c r="A105" s="28"/>
      <c r="B105" s="342"/>
      <c r="G105" s="328"/>
      <c r="H105" s="443"/>
      <c r="I105" s="327"/>
      <c r="N105" s="328"/>
    </row>
    <row r="106">
      <c r="A106" s="28"/>
      <c r="B106" s="343"/>
      <c r="C106" s="163"/>
      <c r="D106" s="163"/>
      <c r="E106" s="163"/>
      <c r="F106" s="163"/>
      <c r="G106" s="344"/>
      <c r="H106" s="443"/>
      <c r="I106" s="332"/>
      <c r="J106" s="333"/>
      <c r="K106" s="333"/>
      <c r="L106" s="333"/>
      <c r="M106" s="333"/>
      <c r="N106" s="334"/>
    </row>
    <row r="107">
      <c r="A107" s="28"/>
    </row>
    <row r="108">
      <c r="A108" s="28"/>
      <c r="B108" s="345" t="s">
        <v>361</v>
      </c>
      <c r="C108" s="30"/>
      <c r="D108" s="30"/>
      <c r="E108" s="30"/>
      <c r="F108" s="30"/>
      <c r="G108" s="3"/>
      <c r="H108" s="164"/>
      <c r="I108" s="346" t="s">
        <v>361</v>
      </c>
      <c r="J108" s="30"/>
      <c r="K108" s="30"/>
      <c r="L108" s="30"/>
      <c r="M108" s="30"/>
      <c r="N108" s="3"/>
    </row>
    <row r="109">
      <c r="A109" s="28"/>
      <c r="B109" s="347" t="s">
        <v>362</v>
      </c>
      <c r="C109" s="30"/>
      <c r="D109" s="30"/>
      <c r="E109" s="30"/>
      <c r="F109" s="30"/>
      <c r="G109" s="3"/>
      <c r="H109" s="164"/>
      <c r="I109" s="348" t="s">
        <v>362</v>
      </c>
      <c r="J109" s="30"/>
      <c r="K109" s="30"/>
      <c r="L109" s="30"/>
      <c r="M109" s="30"/>
      <c r="N109" s="3"/>
    </row>
    <row r="110">
      <c r="A110" s="28"/>
      <c r="B110" s="446" t="s">
        <v>363</v>
      </c>
      <c r="C110" s="324"/>
      <c r="D110" s="324"/>
      <c r="E110" s="324"/>
      <c r="F110" s="324"/>
      <c r="G110" s="325"/>
      <c r="H110" s="443"/>
      <c r="I110" s="447" t="s">
        <v>363</v>
      </c>
      <c r="J110" s="324"/>
      <c r="K110" s="324"/>
      <c r="L110" s="324"/>
      <c r="M110" s="324"/>
      <c r="N110" s="325"/>
    </row>
    <row r="111">
      <c r="A111" s="28"/>
      <c r="B111" s="327"/>
      <c r="G111" s="328"/>
      <c r="H111" s="443"/>
      <c r="I111" s="327"/>
      <c r="N111" s="328"/>
    </row>
    <row r="112">
      <c r="A112" s="28"/>
      <c r="B112" s="327"/>
      <c r="G112" s="328"/>
      <c r="H112" s="443"/>
      <c r="I112" s="327"/>
      <c r="N112" s="328"/>
    </row>
    <row r="113">
      <c r="A113" s="28"/>
      <c r="B113" s="332"/>
      <c r="C113" s="333"/>
      <c r="D113" s="333"/>
      <c r="E113" s="333"/>
      <c r="F113" s="333"/>
      <c r="G113" s="334"/>
      <c r="H113" s="443"/>
      <c r="I113" s="332"/>
      <c r="J113" s="333"/>
      <c r="K113" s="333"/>
      <c r="L113" s="333"/>
      <c r="M113" s="333"/>
      <c r="N113" s="334"/>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sheetData>
  <mergeCells count="133">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9:G59"/>
    <mergeCell ref="F60:G60"/>
    <mergeCell ref="F61:G61"/>
    <mergeCell ref="F62:G62"/>
    <mergeCell ref="F63:G63"/>
    <mergeCell ref="F64:G64"/>
    <mergeCell ref="F72:G72"/>
    <mergeCell ref="F73:G73"/>
    <mergeCell ref="F74:G74"/>
    <mergeCell ref="F75:G75"/>
    <mergeCell ref="F76:G76"/>
    <mergeCell ref="F65:G65"/>
    <mergeCell ref="F66:G66"/>
    <mergeCell ref="F67:G67"/>
    <mergeCell ref="F68:G68"/>
    <mergeCell ref="F69:G69"/>
    <mergeCell ref="F70:G70"/>
    <mergeCell ref="F71:G71"/>
    <mergeCell ref="M42:N42"/>
    <mergeCell ref="M43:N43"/>
    <mergeCell ref="M44:N44"/>
    <mergeCell ref="M45:N45"/>
    <mergeCell ref="M46:N46"/>
    <mergeCell ref="M47:N47"/>
    <mergeCell ref="M48:N48"/>
    <mergeCell ref="M49:N49"/>
    <mergeCell ref="M50:N50"/>
    <mergeCell ref="M51:N51"/>
    <mergeCell ref="M52:N52"/>
    <mergeCell ref="M53:N53"/>
    <mergeCell ref="M54:N54"/>
    <mergeCell ref="M55:N55"/>
    <mergeCell ref="M59:N59"/>
    <mergeCell ref="M60:N60"/>
    <mergeCell ref="M61:N61"/>
    <mergeCell ref="M62:N62"/>
    <mergeCell ref="M63:N63"/>
    <mergeCell ref="M64:N64"/>
    <mergeCell ref="M65:N65"/>
    <mergeCell ref="M73:N73"/>
    <mergeCell ref="M74:N74"/>
    <mergeCell ref="M75:N75"/>
    <mergeCell ref="M76:N76"/>
    <mergeCell ref="M66:N66"/>
    <mergeCell ref="M67:N67"/>
    <mergeCell ref="M68:N68"/>
    <mergeCell ref="M69:N69"/>
    <mergeCell ref="M70:N70"/>
    <mergeCell ref="M71:N71"/>
    <mergeCell ref="M72:N72"/>
    <mergeCell ref="I90:K90"/>
    <mergeCell ref="M90:N90"/>
    <mergeCell ref="B57:N57"/>
    <mergeCell ref="B58:G58"/>
    <mergeCell ref="I58:N58"/>
    <mergeCell ref="B78:N78"/>
    <mergeCell ref="B79:N79"/>
    <mergeCell ref="B90:D90"/>
    <mergeCell ref="F90:G90"/>
    <mergeCell ref="I95:N95"/>
    <mergeCell ref="I96:N99"/>
    <mergeCell ref="B92:N92"/>
    <mergeCell ref="B93:G93"/>
    <mergeCell ref="I93:N93"/>
    <mergeCell ref="B94:G94"/>
    <mergeCell ref="I94:N94"/>
    <mergeCell ref="B95:G95"/>
    <mergeCell ref="B96:G99"/>
    <mergeCell ref="I15:N15"/>
    <mergeCell ref="M16:N16"/>
    <mergeCell ref="B2:N2"/>
    <mergeCell ref="B3:N3"/>
    <mergeCell ref="B5:C5"/>
    <mergeCell ref="D5:E5"/>
    <mergeCell ref="B14:N14"/>
    <mergeCell ref="B15:G15"/>
    <mergeCell ref="F16:G16"/>
    <mergeCell ref="F21:G21"/>
    <mergeCell ref="F22:G22"/>
    <mergeCell ref="F23:G23"/>
    <mergeCell ref="F25:G25"/>
    <mergeCell ref="F26:G26"/>
    <mergeCell ref="F27:G27"/>
    <mergeCell ref="F29:G29"/>
    <mergeCell ref="F33:G33"/>
    <mergeCell ref="F17:G17"/>
    <mergeCell ref="M17:N17"/>
    <mergeCell ref="F18:G18"/>
    <mergeCell ref="M18:N18"/>
    <mergeCell ref="F19:G19"/>
    <mergeCell ref="M19:N19"/>
    <mergeCell ref="M21:N21"/>
    <mergeCell ref="M22:N22"/>
    <mergeCell ref="M23:N23"/>
    <mergeCell ref="M25:N25"/>
    <mergeCell ref="M26:N26"/>
    <mergeCell ref="M27:N27"/>
    <mergeCell ref="M29:N29"/>
    <mergeCell ref="B31:N31"/>
    <mergeCell ref="B32:G32"/>
    <mergeCell ref="I32:N32"/>
    <mergeCell ref="M33:N33"/>
    <mergeCell ref="B39:N39"/>
    <mergeCell ref="B40:G40"/>
    <mergeCell ref="I40:N40"/>
    <mergeCell ref="M41:N41"/>
    <mergeCell ref="B108:G108"/>
    <mergeCell ref="B109:G109"/>
    <mergeCell ref="B110:G113"/>
    <mergeCell ref="I110:N113"/>
    <mergeCell ref="B101:G101"/>
    <mergeCell ref="I101:N101"/>
    <mergeCell ref="B102:G102"/>
    <mergeCell ref="I102:N102"/>
    <mergeCell ref="B103:G106"/>
    <mergeCell ref="I103:N106"/>
    <mergeCell ref="I108:N108"/>
    <mergeCell ref="I109:N109"/>
  </mergeCells>
  <conditionalFormatting sqref="E42:E55 E60:E76 L60:L76 L42:L55">
    <cfRule type="cellIs" dxfId="2" priority="1" operator="greaterThan">
      <formula>"100%"</formula>
    </cfRule>
  </conditionalFormatting>
  <conditionalFormatting sqref="E42:E55 E60:E76 L60:L76 L42:L55">
    <cfRule type="cellIs" dxfId="1" priority="2" operator="lessThan">
      <formula>"100%"</formula>
    </cfRule>
  </conditionalFormatting>
  <conditionalFormatting sqref="L60:L76">
    <cfRule type="cellIs" dxfId="0" priority="3" operator="equal">
      <formula>"100%"</formula>
    </cfRule>
  </conditionalFormatting>
  <conditionalFormatting sqref="E60:E76 E42:E55">
    <cfRule type="cellIs" dxfId="3" priority="4" operator="equal">
      <formula>"100%"</formula>
    </cfRule>
  </conditionalFormatting>
  <conditionalFormatting sqref="L42:L55">
    <cfRule type="cellIs" dxfId="0" priority="5" operator="equal">
      <formula>"100%"</formula>
    </cfRule>
  </conditionalFormatting>
  <dataValidations>
    <dataValidation type="list" allowBlank="1" showInputMessage="1" showErrorMessage="1" prompt="Nilai Tidak Valid - Silakan pilih nilai 1–5 dari dropdown." sqref="E81:E89 L81:L89">
      <formula1>"1,2,3,4,5"</formula1>
    </dataValidation>
  </dataValidation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
    <col customWidth="1" min="2" max="2" width="26.0"/>
    <col customWidth="1" min="3" max="3" width="27.57"/>
    <col customWidth="1" min="4" max="5" width="22.0"/>
    <col customWidth="1" min="6" max="6" width="18.0"/>
    <col customWidth="1" min="7" max="7" width="28.0"/>
    <col customWidth="1" min="9" max="9" width="26.57"/>
    <col customWidth="1" min="10" max="10" width="24.43"/>
    <col customWidth="1" min="14" max="14" width="22.57"/>
  </cols>
  <sheetData>
    <row r="1">
      <c r="A1" s="28"/>
      <c r="B1" s="28"/>
      <c r="C1" s="28"/>
      <c r="D1" s="28"/>
      <c r="E1" s="28"/>
      <c r="F1" s="28"/>
      <c r="G1" s="28"/>
    </row>
    <row r="2" ht="32.25" customHeight="1">
      <c r="A2" s="28"/>
      <c r="B2" s="352" t="s">
        <v>870</v>
      </c>
      <c r="C2" s="30"/>
      <c r="D2" s="30"/>
      <c r="E2" s="30"/>
      <c r="F2" s="30"/>
      <c r="G2" s="30"/>
      <c r="H2" s="30"/>
      <c r="I2" s="30"/>
      <c r="J2" s="30"/>
      <c r="K2" s="30"/>
      <c r="L2" s="30"/>
      <c r="M2" s="30"/>
      <c r="N2" s="3"/>
    </row>
    <row r="3">
      <c r="A3" s="28"/>
      <c r="B3" s="133" t="s">
        <v>871</v>
      </c>
      <c r="C3" s="30"/>
      <c r="D3" s="30"/>
      <c r="E3" s="30"/>
      <c r="F3" s="30"/>
      <c r="G3" s="30"/>
      <c r="H3" s="30"/>
      <c r="I3" s="30"/>
      <c r="J3" s="30"/>
      <c r="K3" s="30"/>
      <c r="L3" s="30"/>
      <c r="M3" s="30"/>
      <c r="N3" s="3"/>
    </row>
    <row r="4">
      <c r="A4" s="28"/>
      <c r="B4" s="28"/>
      <c r="C4" s="28"/>
      <c r="D4" s="28"/>
      <c r="E4" s="28"/>
      <c r="F4" s="28"/>
      <c r="G4" s="28"/>
    </row>
    <row r="5" ht="28.5" customHeight="1">
      <c r="A5" s="142"/>
      <c r="B5" s="134" t="s">
        <v>146</v>
      </c>
      <c r="C5" s="27"/>
      <c r="D5" s="134" t="s">
        <v>147</v>
      </c>
      <c r="E5" s="27"/>
      <c r="F5" s="142"/>
      <c r="G5" s="142"/>
      <c r="H5" s="146"/>
      <c r="I5" s="146"/>
      <c r="J5" s="146"/>
      <c r="K5" s="146"/>
      <c r="L5" s="146"/>
      <c r="M5" s="146"/>
      <c r="N5" s="146"/>
      <c r="O5" s="146"/>
      <c r="P5" s="146"/>
      <c r="Q5" s="146"/>
      <c r="R5" s="146"/>
      <c r="S5" s="146"/>
      <c r="T5" s="146"/>
      <c r="U5" s="146"/>
      <c r="V5" s="146"/>
      <c r="W5" s="146"/>
      <c r="X5" s="146"/>
      <c r="Y5" s="146"/>
      <c r="Z5" s="146"/>
    </row>
    <row r="6">
      <c r="A6" s="28"/>
      <c r="B6" s="135" t="s">
        <v>148</v>
      </c>
      <c r="C6" s="463">
        <v>34.0</v>
      </c>
      <c r="D6" s="135" t="s">
        <v>149</v>
      </c>
      <c r="E6" s="138" t="s">
        <v>872</v>
      </c>
      <c r="F6" s="28"/>
      <c r="G6" s="28"/>
    </row>
    <row r="7">
      <c r="A7" s="28"/>
      <c r="B7" s="139" t="s">
        <v>150</v>
      </c>
      <c r="C7" s="463" t="s">
        <v>151</v>
      </c>
      <c r="D7" s="139" t="s">
        <v>152</v>
      </c>
      <c r="E7" s="138" t="s">
        <v>873</v>
      </c>
      <c r="F7" s="28"/>
      <c r="G7" s="28"/>
    </row>
    <row r="8">
      <c r="A8" s="28"/>
      <c r="B8" s="135" t="s">
        <v>154</v>
      </c>
      <c r="C8" s="463">
        <v>51.0</v>
      </c>
      <c r="D8" s="135" t="s">
        <v>155</v>
      </c>
      <c r="E8" s="138" t="s">
        <v>874</v>
      </c>
      <c r="F8" s="28"/>
      <c r="G8" s="28"/>
    </row>
    <row r="9">
      <c r="A9" s="28"/>
      <c r="B9" s="139" t="s">
        <v>157</v>
      </c>
      <c r="C9" s="463">
        <v>178.0</v>
      </c>
      <c r="D9" s="139" t="s">
        <v>158</v>
      </c>
      <c r="E9" s="138" t="s">
        <v>875</v>
      </c>
      <c r="F9" s="28"/>
      <c r="G9" s="28"/>
    </row>
    <row r="10">
      <c r="A10" s="28"/>
      <c r="B10" s="135" t="s">
        <v>160</v>
      </c>
      <c r="C10" s="463" t="s">
        <v>876</v>
      </c>
      <c r="D10" s="135" t="s">
        <v>162</v>
      </c>
      <c r="E10" s="138" t="s">
        <v>877</v>
      </c>
      <c r="F10" s="28"/>
      <c r="G10" s="28"/>
    </row>
    <row r="11">
      <c r="A11" s="28"/>
      <c r="B11" s="139" t="s">
        <v>93</v>
      </c>
      <c r="C11" s="463" t="s">
        <v>878</v>
      </c>
      <c r="D11" s="139" t="s">
        <v>165</v>
      </c>
      <c r="E11" s="138" t="s">
        <v>879</v>
      </c>
      <c r="F11" s="28"/>
      <c r="G11" s="28"/>
    </row>
    <row r="12">
      <c r="A12" s="28"/>
      <c r="B12" s="141"/>
      <c r="C12" s="141"/>
      <c r="D12" s="135" t="s">
        <v>167</v>
      </c>
      <c r="E12" s="138" t="s">
        <v>168</v>
      </c>
      <c r="F12" s="28"/>
      <c r="G12" s="28"/>
    </row>
    <row r="13">
      <c r="A13" s="28"/>
      <c r="B13" s="28"/>
      <c r="C13" s="28"/>
      <c r="D13" s="28"/>
      <c r="E13" s="28"/>
      <c r="F13" s="28"/>
      <c r="G13" s="28"/>
    </row>
    <row r="14" ht="28.5" customHeight="1">
      <c r="A14" s="142"/>
      <c r="B14" s="143" t="s">
        <v>169</v>
      </c>
      <c r="C14" s="144"/>
      <c r="D14" s="144"/>
      <c r="E14" s="144"/>
      <c r="F14" s="144"/>
      <c r="G14" s="144"/>
      <c r="H14" s="144"/>
      <c r="I14" s="144"/>
      <c r="J14" s="144"/>
      <c r="K14" s="144"/>
      <c r="L14" s="144"/>
      <c r="M14" s="144"/>
      <c r="N14" s="145"/>
      <c r="O14" s="146"/>
      <c r="P14" s="146"/>
      <c r="Q14" s="146"/>
      <c r="R14" s="146"/>
      <c r="S14" s="146"/>
      <c r="T14" s="146"/>
      <c r="U14" s="146"/>
      <c r="V14" s="146"/>
      <c r="W14" s="146"/>
      <c r="X14" s="146"/>
      <c r="Y14" s="146"/>
      <c r="Z14" s="146"/>
    </row>
    <row r="15" ht="23.25" customHeight="1">
      <c r="A15" s="147"/>
      <c r="B15" s="148" t="s">
        <v>170</v>
      </c>
      <c r="C15" s="149"/>
      <c r="D15" s="149"/>
      <c r="E15" s="149"/>
      <c r="F15" s="149"/>
      <c r="G15" s="150"/>
      <c r="H15" s="151"/>
      <c r="I15" s="152" t="s">
        <v>171</v>
      </c>
      <c r="J15" s="149"/>
      <c r="K15" s="149"/>
      <c r="L15" s="149"/>
      <c r="M15" s="149"/>
      <c r="N15" s="150"/>
      <c r="O15" s="153"/>
      <c r="P15" s="153"/>
      <c r="Q15" s="153"/>
      <c r="R15" s="153"/>
      <c r="S15" s="153"/>
      <c r="T15" s="153"/>
      <c r="U15" s="153"/>
      <c r="V15" s="153"/>
      <c r="W15" s="153"/>
      <c r="X15" s="153"/>
      <c r="Y15" s="153"/>
      <c r="Z15" s="153"/>
    </row>
    <row r="16">
      <c r="A16" s="28"/>
      <c r="B16" s="154" t="s">
        <v>172</v>
      </c>
      <c r="C16" s="154" t="s">
        <v>173</v>
      </c>
      <c r="D16" s="154" t="s">
        <v>174</v>
      </c>
      <c r="E16" s="154" t="s">
        <v>175</v>
      </c>
      <c r="F16" s="155" t="s">
        <v>371</v>
      </c>
      <c r="G16" s="150"/>
      <c r="H16" s="156"/>
      <c r="I16" s="157" t="s">
        <v>172</v>
      </c>
      <c r="J16" s="157" t="s">
        <v>173</v>
      </c>
      <c r="K16" s="157" t="s">
        <v>174</v>
      </c>
      <c r="L16" s="157" t="s">
        <v>175</v>
      </c>
      <c r="M16" s="158" t="s">
        <v>371</v>
      </c>
      <c r="N16" s="150"/>
    </row>
    <row r="17">
      <c r="A17" s="28"/>
      <c r="B17" s="159" t="s">
        <v>176</v>
      </c>
      <c r="C17" s="160" t="s">
        <v>880</v>
      </c>
      <c r="D17" s="160">
        <v>138.0</v>
      </c>
      <c r="E17" s="161">
        <v>496.8</v>
      </c>
      <c r="F17" s="162" t="s">
        <v>881</v>
      </c>
      <c r="G17" s="163"/>
      <c r="H17" s="164"/>
      <c r="I17" s="159" t="s">
        <v>176</v>
      </c>
      <c r="J17" s="165" t="s">
        <v>620</v>
      </c>
      <c r="K17" s="165" t="s">
        <v>882</v>
      </c>
      <c r="L17" s="161" t="s">
        <v>883</v>
      </c>
      <c r="M17" s="354"/>
      <c r="N17" s="163"/>
    </row>
    <row r="18">
      <c r="A18" s="28"/>
      <c r="B18" s="166" t="s">
        <v>183</v>
      </c>
      <c r="C18" s="167" t="s">
        <v>515</v>
      </c>
      <c r="D18" s="167">
        <v>134.0</v>
      </c>
      <c r="E18" s="168">
        <v>297.5</v>
      </c>
      <c r="F18" s="172"/>
      <c r="G18" s="170"/>
      <c r="H18" s="164"/>
      <c r="I18" s="166" t="s">
        <v>183</v>
      </c>
      <c r="J18" s="171" t="s">
        <v>884</v>
      </c>
      <c r="K18" s="171" t="s">
        <v>885</v>
      </c>
      <c r="L18" s="168">
        <v>209.0</v>
      </c>
      <c r="M18" s="172"/>
      <c r="N18" s="170"/>
    </row>
    <row r="19">
      <c r="A19" s="28"/>
      <c r="B19" s="173" t="s">
        <v>190</v>
      </c>
      <c r="C19" s="167" t="s">
        <v>886</v>
      </c>
      <c r="D19" s="167">
        <v>137.0</v>
      </c>
      <c r="E19" s="168">
        <v>50.7</v>
      </c>
      <c r="F19" s="172"/>
      <c r="G19" s="170"/>
      <c r="H19" s="164"/>
      <c r="I19" s="173" t="s">
        <v>190</v>
      </c>
      <c r="J19" s="171" t="s">
        <v>382</v>
      </c>
      <c r="K19" s="171" t="s">
        <v>887</v>
      </c>
      <c r="L19" s="168" t="s">
        <v>888</v>
      </c>
      <c r="M19" s="169" t="s">
        <v>889</v>
      </c>
      <c r="N19" s="170"/>
    </row>
    <row r="20">
      <c r="A20" s="28"/>
      <c r="B20" s="174"/>
      <c r="C20" s="175"/>
      <c r="D20" s="175"/>
      <c r="E20" s="175"/>
      <c r="F20" s="176"/>
      <c r="G20" s="176"/>
      <c r="H20" s="164"/>
      <c r="I20" s="174"/>
      <c r="J20" s="176"/>
      <c r="K20" s="176"/>
      <c r="L20" s="175"/>
      <c r="M20" s="176"/>
      <c r="N20" s="176"/>
    </row>
    <row r="21">
      <c r="A21" s="28"/>
      <c r="B21" s="177" t="s">
        <v>196</v>
      </c>
      <c r="C21" s="167" t="s">
        <v>890</v>
      </c>
      <c r="D21" s="167">
        <v>200.0</v>
      </c>
      <c r="E21" s="168">
        <v>504.0</v>
      </c>
      <c r="F21" s="172"/>
      <c r="G21" s="170"/>
      <c r="H21" s="164"/>
      <c r="I21" s="177" t="s">
        <v>196</v>
      </c>
      <c r="J21" s="171" t="s">
        <v>891</v>
      </c>
      <c r="K21" s="171" t="s">
        <v>622</v>
      </c>
      <c r="L21" s="168" t="s">
        <v>892</v>
      </c>
      <c r="M21" s="169" t="s">
        <v>893</v>
      </c>
      <c r="N21" s="170"/>
    </row>
    <row r="22">
      <c r="A22" s="28"/>
      <c r="B22" s="178" t="s">
        <v>203</v>
      </c>
      <c r="C22" s="167" t="s">
        <v>894</v>
      </c>
      <c r="D22" s="167">
        <v>121.0</v>
      </c>
      <c r="E22" s="168">
        <v>349.7</v>
      </c>
      <c r="F22" s="172"/>
      <c r="G22" s="170"/>
      <c r="H22" s="164"/>
      <c r="I22" s="178" t="s">
        <v>203</v>
      </c>
      <c r="J22" s="171" t="s">
        <v>465</v>
      </c>
      <c r="K22" s="171" t="s">
        <v>626</v>
      </c>
      <c r="L22" s="168">
        <v>274.0</v>
      </c>
      <c r="M22" s="172"/>
      <c r="N22" s="170"/>
    </row>
    <row r="23">
      <c r="A23" s="28"/>
      <c r="B23" s="177" t="s">
        <v>211</v>
      </c>
      <c r="C23" s="167" t="s">
        <v>895</v>
      </c>
      <c r="D23" s="167">
        <v>199.0</v>
      </c>
      <c r="E23" s="168">
        <v>141.3</v>
      </c>
      <c r="F23" s="169" t="s">
        <v>896</v>
      </c>
      <c r="G23" s="170"/>
      <c r="H23" s="164"/>
      <c r="I23" s="177" t="s">
        <v>211</v>
      </c>
      <c r="J23" s="171" t="s">
        <v>897</v>
      </c>
      <c r="K23" s="171" t="s">
        <v>384</v>
      </c>
      <c r="L23" s="168">
        <v>202.0</v>
      </c>
      <c r="M23" s="172"/>
      <c r="N23" s="170"/>
    </row>
    <row r="24">
      <c r="A24" s="28"/>
      <c r="B24" s="174"/>
      <c r="C24" s="175"/>
      <c r="D24" s="175"/>
      <c r="E24" s="175"/>
      <c r="F24" s="176"/>
      <c r="G24" s="176"/>
      <c r="H24" s="164"/>
      <c r="I24" s="174"/>
      <c r="J24" s="176"/>
      <c r="K24" s="176"/>
      <c r="L24" s="175"/>
      <c r="M24" s="176"/>
      <c r="N24" s="176"/>
    </row>
    <row r="25">
      <c r="A25" s="28"/>
      <c r="B25" s="179" t="s">
        <v>216</v>
      </c>
      <c r="C25" s="167" t="s">
        <v>898</v>
      </c>
      <c r="D25" s="167">
        <v>150.0</v>
      </c>
      <c r="E25" s="168">
        <v>288.0</v>
      </c>
      <c r="F25" s="172"/>
      <c r="G25" s="170"/>
      <c r="H25" s="164"/>
      <c r="I25" s="179" t="s">
        <v>216</v>
      </c>
      <c r="J25" s="171" t="s">
        <v>880</v>
      </c>
      <c r="K25" s="171" t="s">
        <v>201</v>
      </c>
      <c r="L25" s="168" t="s">
        <v>899</v>
      </c>
      <c r="M25" s="169" t="s">
        <v>900</v>
      </c>
      <c r="N25" s="170"/>
    </row>
    <row r="26">
      <c r="A26" s="28"/>
      <c r="B26" s="180" t="s">
        <v>223</v>
      </c>
      <c r="C26" s="167" t="s">
        <v>526</v>
      </c>
      <c r="D26" s="167">
        <v>100.0</v>
      </c>
      <c r="E26" s="168">
        <v>312.0</v>
      </c>
      <c r="F26" s="169" t="s">
        <v>901</v>
      </c>
      <c r="G26" s="170"/>
      <c r="H26" s="164"/>
      <c r="I26" s="180" t="s">
        <v>223</v>
      </c>
      <c r="J26" s="171" t="s">
        <v>902</v>
      </c>
      <c r="K26" s="171" t="s">
        <v>544</v>
      </c>
      <c r="L26" s="168">
        <v>169.0</v>
      </c>
      <c r="M26" s="172"/>
      <c r="N26" s="170"/>
    </row>
    <row r="27">
      <c r="A27" s="28"/>
      <c r="B27" s="179" t="s">
        <v>229</v>
      </c>
      <c r="C27" s="167" t="s">
        <v>382</v>
      </c>
      <c r="D27" s="167">
        <v>149.0</v>
      </c>
      <c r="E27" s="168">
        <v>150.5</v>
      </c>
      <c r="F27" s="169" t="s">
        <v>889</v>
      </c>
      <c r="G27" s="170"/>
      <c r="H27" s="164"/>
      <c r="I27" s="179" t="s">
        <v>229</v>
      </c>
      <c r="J27" s="171" t="s">
        <v>230</v>
      </c>
      <c r="K27" s="171" t="s">
        <v>214</v>
      </c>
      <c r="L27" s="168" t="s">
        <v>903</v>
      </c>
      <c r="M27" s="172"/>
      <c r="N27" s="170"/>
    </row>
    <row r="28">
      <c r="A28" s="28"/>
      <c r="B28" s="174"/>
      <c r="C28" s="175"/>
      <c r="D28" s="175"/>
      <c r="E28" s="175"/>
      <c r="F28" s="176"/>
      <c r="G28" s="176"/>
      <c r="H28" s="164"/>
      <c r="I28" s="174"/>
      <c r="J28" s="176"/>
      <c r="K28" s="176"/>
      <c r="L28" s="175"/>
      <c r="M28" s="176"/>
      <c r="N28" s="176"/>
    </row>
    <row r="29">
      <c r="A29" s="28"/>
      <c r="B29" s="181" t="s">
        <v>234</v>
      </c>
      <c r="C29" s="167" t="s">
        <v>478</v>
      </c>
      <c r="D29" s="167">
        <v>310.0</v>
      </c>
      <c r="E29" s="168">
        <v>474.3</v>
      </c>
      <c r="F29" s="169" t="s">
        <v>904</v>
      </c>
      <c r="G29" s="170"/>
      <c r="H29" s="164"/>
      <c r="I29" s="181" t="s">
        <v>234</v>
      </c>
      <c r="J29" s="171" t="s">
        <v>905</v>
      </c>
      <c r="K29" s="171" t="s">
        <v>239</v>
      </c>
      <c r="L29" s="168" t="s">
        <v>906</v>
      </c>
      <c r="M29" s="172"/>
      <c r="N29" s="170"/>
    </row>
    <row r="30">
      <c r="A30" s="28"/>
      <c r="F30" s="28"/>
      <c r="G30" s="28"/>
    </row>
    <row r="31" ht="28.5" customHeight="1">
      <c r="A31" s="142"/>
      <c r="B31" s="182" t="s">
        <v>241</v>
      </c>
      <c r="C31" s="183"/>
      <c r="D31" s="183"/>
      <c r="E31" s="183"/>
      <c r="F31" s="183"/>
      <c r="G31" s="183"/>
      <c r="H31" s="183"/>
      <c r="I31" s="183"/>
      <c r="J31" s="183"/>
      <c r="K31" s="183"/>
      <c r="L31" s="183"/>
      <c r="M31" s="183"/>
      <c r="N31" s="184"/>
      <c r="O31" s="146"/>
      <c r="P31" s="146"/>
      <c r="Q31" s="146"/>
      <c r="R31" s="146"/>
      <c r="S31" s="146"/>
      <c r="T31" s="146"/>
      <c r="U31" s="146"/>
      <c r="V31" s="146"/>
      <c r="W31" s="146"/>
      <c r="X31" s="146"/>
      <c r="Y31" s="146"/>
      <c r="Z31" s="146"/>
    </row>
    <row r="32" ht="23.25" customHeight="1">
      <c r="A32" s="147"/>
      <c r="B32" s="237" t="s">
        <v>408</v>
      </c>
      <c r="C32" s="235"/>
      <c r="D32" s="235"/>
      <c r="E32" s="235"/>
      <c r="F32" s="235"/>
      <c r="G32" s="236"/>
      <c r="H32" s="185"/>
      <c r="I32" s="152" t="s">
        <v>242</v>
      </c>
      <c r="J32" s="149"/>
      <c r="K32" s="149"/>
      <c r="L32" s="149"/>
      <c r="M32" s="149"/>
      <c r="N32" s="150"/>
      <c r="O32" s="153"/>
      <c r="P32" s="153"/>
      <c r="Q32" s="153"/>
      <c r="R32" s="153"/>
      <c r="S32" s="153"/>
      <c r="T32" s="153"/>
      <c r="U32" s="153"/>
      <c r="V32" s="153"/>
      <c r="W32" s="153"/>
      <c r="X32" s="153"/>
      <c r="Y32" s="153"/>
      <c r="Z32" s="153"/>
    </row>
    <row r="33">
      <c r="A33" s="28"/>
      <c r="B33" s="186" t="s">
        <v>172</v>
      </c>
      <c r="C33" s="186" t="s">
        <v>175</v>
      </c>
      <c r="D33" s="186" t="s">
        <v>243</v>
      </c>
      <c r="E33" s="187" t="s">
        <v>244</v>
      </c>
      <c r="F33" s="188" t="s">
        <v>245</v>
      </c>
      <c r="G33" s="235"/>
      <c r="H33" s="190"/>
      <c r="I33" s="157" t="s">
        <v>172</v>
      </c>
      <c r="J33" s="157" t="s">
        <v>175</v>
      </c>
      <c r="K33" s="157" t="s">
        <v>243</v>
      </c>
      <c r="L33" s="157" t="s">
        <v>244</v>
      </c>
      <c r="M33" s="191" t="s">
        <v>245</v>
      </c>
      <c r="N33" s="150"/>
    </row>
    <row r="34">
      <c r="A34" s="28"/>
      <c r="B34" s="193" t="s">
        <v>246</v>
      </c>
      <c r="C34" s="465" t="s">
        <v>907</v>
      </c>
      <c r="D34" s="366" t="s">
        <v>410</v>
      </c>
      <c r="E34" s="367" t="s">
        <v>248</v>
      </c>
      <c r="F34" s="197">
        <v>0.245</v>
      </c>
      <c r="G34" s="198"/>
      <c r="H34" s="164"/>
      <c r="I34" s="199" t="s">
        <v>246</v>
      </c>
      <c r="J34" s="465">
        <v>689.1</v>
      </c>
      <c r="K34" s="402" t="s">
        <v>410</v>
      </c>
      <c r="L34" s="202" t="s">
        <v>248</v>
      </c>
      <c r="M34" s="203">
        <f t="shared" ref="M34:M37" si="1">J34/sum($J$34:$J$37)</f>
        <v>0.2410114717</v>
      </c>
      <c r="N34" s="203"/>
    </row>
    <row r="35">
      <c r="A35" s="28"/>
      <c r="B35" s="204" t="s">
        <v>249</v>
      </c>
      <c r="C35" s="210" t="s">
        <v>908</v>
      </c>
      <c r="D35" s="369" t="s">
        <v>412</v>
      </c>
      <c r="E35" s="212" t="s">
        <v>248</v>
      </c>
      <c r="F35" s="208">
        <v>0.289</v>
      </c>
      <c r="G35" s="209"/>
      <c r="H35" s="164"/>
      <c r="I35" s="204" t="s">
        <v>249</v>
      </c>
      <c r="J35" s="210">
        <v>947.7</v>
      </c>
      <c r="K35" s="369" t="s">
        <v>412</v>
      </c>
      <c r="L35" s="212" t="s">
        <v>248</v>
      </c>
      <c r="M35" s="213">
        <f t="shared" si="1"/>
        <v>0.3314563514</v>
      </c>
      <c r="N35" s="213"/>
    </row>
    <row r="36">
      <c r="A36" s="28"/>
      <c r="B36" s="214" t="s">
        <v>251</v>
      </c>
      <c r="C36" s="220" t="s">
        <v>909</v>
      </c>
      <c r="D36" s="370" t="s">
        <v>414</v>
      </c>
      <c r="E36" s="222" t="s">
        <v>248</v>
      </c>
      <c r="F36" s="218">
        <v>0.218</v>
      </c>
      <c r="G36" s="219"/>
      <c r="H36" s="164"/>
      <c r="I36" s="214" t="s">
        <v>251</v>
      </c>
      <c r="J36" s="220">
        <v>820.0</v>
      </c>
      <c r="K36" s="370" t="s">
        <v>414</v>
      </c>
      <c r="L36" s="222" t="s">
        <v>248</v>
      </c>
      <c r="M36" s="223">
        <f t="shared" si="1"/>
        <v>0.2867935087</v>
      </c>
      <c r="N36" s="223"/>
    </row>
    <row r="37">
      <c r="A37" s="28"/>
      <c r="B37" s="224" t="s">
        <v>253</v>
      </c>
      <c r="C37" s="230" t="s">
        <v>910</v>
      </c>
      <c r="D37" s="371" t="s">
        <v>416</v>
      </c>
      <c r="E37" s="232" t="s">
        <v>248</v>
      </c>
      <c r="F37" s="228">
        <v>0.138</v>
      </c>
      <c r="G37" s="229"/>
      <c r="H37" s="164"/>
      <c r="I37" s="224" t="s">
        <v>253</v>
      </c>
      <c r="J37" s="230">
        <v>402.4</v>
      </c>
      <c r="K37" s="371" t="s">
        <v>416</v>
      </c>
      <c r="L37" s="232" t="s">
        <v>248</v>
      </c>
      <c r="M37" s="233">
        <f t="shared" si="1"/>
        <v>0.1407386682</v>
      </c>
      <c r="N37" s="233"/>
    </row>
    <row r="38">
      <c r="A38" s="28"/>
      <c r="B38" s="28"/>
      <c r="C38" s="28"/>
      <c r="D38" s="28"/>
      <c r="E38" s="28"/>
      <c r="F38" s="28"/>
      <c r="G38" s="28"/>
    </row>
    <row r="39" ht="28.5" customHeight="1">
      <c r="A39" s="142"/>
      <c r="B39" s="234" t="s">
        <v>255</v>
      </c>
      <c r="C39" s="235"/>
      <c r="D39" s="235"/>
      <c r="E39" s="235"/>
      <c r="F39" s="235"/>
      <c r="G39" s="235"/>
      <c r="H39" s="235"/>
      <c r="I39" s="235"/>
      <c r="J39" s="235"/>
      <c r="K39" s="235"/>
      <c r="L39" s="235"/>
      <c r="M39" s="235"/>
      <c r="N39" s="236"/>
      <c r="O39" s="146"/>
      <c r="P39" s="146"/>
      <c r="Q39" s="146"/>
      <c r="R39" s="146"/>
      <c r="S39" s="146"/>
      <c r="T39" s="146"/>
      <c r="U39" s="146"/>
      <c r="V39" s="146"/>
      <c r="W39" s="146"/>
      <c r="X39" s="146"/>
      <c r="Y39" s="146"/>
      <c r="Z39" s="146"/>
    </row>
    <row r="40" ht="23.25" customHeight="1">
      <c r="A40" s="147"/>
      <c r="B40" s="237" t="s">
        <v>256</v>
      </c>
      <c r="C40" s="235"/>
      <c r="D40" s="235"/>
      <c r="E40" s="235"/>
      <c r="F40" s="235"/>
      <c r="G40" s="236"/>
      <c r="H40" s="185"/>
      <c r="I40" s="152" t="s">
        <v>257</v>
      </c>
      <c r="J40" s="149"/>
      <c r="K40" s="149"/>
      <c r="L40" s="149"/>
      <c r="M40" s="149"/>
      <c r="N40" s="150"/>
      <c r="O40" s="153"/>
      <c r="P40" s="153"/>
      <c r="Q40" s="153"/>
      <c r="R40" s="153"/>
      <c r="S40" s="153"/>
      <c r="T40" s="153"/>
      <c r="U40" s="153"/>
      <c r="V40" s="153"/>
      <c r="W40" s="153"/>
      <c r="X40" s="153"/>
      <c r="Y40" s="153"/>
      <c r="Z40" s="153"/>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385"/>
      <c r="B42" s="377" t="s">
        <v>262</v>
      </c>
      <c r="C42" s="243" t="s">
        <v>874</v>
      </c>
      <c r="D42" s="243">
        <v>3064.74</v>
      </c>
      <c r="E42" s="246">
        <v>1.0</v>
      </c>
      <c r="F42" s="386"/>
      <c r="G42" s="235"/>
      <c r="H42" s="387"/>
      <c r="I42" s="377" t="s">
        <v>262</v>
      </c>
      <c r="J42" s="243" t="s">
        <v>874</v>
      </c>
      <c r="K42" s="243">
        <v>2859.2</v>
      </c>
      <c r="L42" s="246">
        <v>1.0</v>
      </c>
      <c r="M42" s="386"/>
      <c r="N42" s="235"/>
      <c r="O42" s="388"/>
      <c r="P42" s="388"/>
      <c r="Q42" s="388"/>
      <c r="R42" s="388"/>
      <c r="S42" s="388"/>
      <c r="T42" s="388"/>
      <c r="U42" s="388"/>
      <c r="V42" s="388"/>
      <c r="W42" s="388"/>
      <c r="X42" s="388"/>
      <c r="Y42" s="388"/>
      <c r="Z42" s="388"/>
    </row>
    <row r="43">
      <c r="A43" s="385"/>
      <c r="B43" s="377" t="s">
        <v>158</v>
      </c>
      <c r="C43" s="243" t="s">
        <v>875</v>
      </c>
      <c r="D43" s="243">
        <v>113.88</v>
      </c>
      <c r="E43" s="246">
        <v>0.927</v>
      </c>
      <c r="F43" s="386"/>
      <c r="G43" s="235"/>
      <c r="H43" s="387"/>
      <c r="I43" s="377" t="s">
        <v>158</v>
      </c>
      <c r="J43" s="243" t="s">
        <v>875</v>
      </c>
      <c r="K43" s="243">
        <v>66.1</v>
      </c>
      <c r="L43" s="246">
        <v>0.538</v>
      </c>
      <c r="M43" s="386"/>
      <c r="N43" s="235"/>
      <c r="O43" s="388"/>
      <c r="P43" s="388"/>
      <c r="Q43" s="388"/>
      <c r="R43" s="388"/>
      <c r="S43" s="388"/>
      <c r="T43" s="388"/>
      <c r="U43" s="388"/>
      <c r="V43" s="388"/>
      <c r="W43" s="388"/>
      <c r="X43" s="388"/>
      <c r="Y43" s="388"/>
      <c r="Z43" s="388"/>
    </row>
    <row r="44">
      <c r="A44" s="385"/>
      <c r="B44" s="377" t="s">
        <v>263</v>
      </c>
      <c r="C44" s="243" t="s">
        <v>877</v>
      </c>
      <c r="D44" s="243">
        <v>98.41</v>
      </c>
      <c r="E44" s="246">
        <v>1.0</v>
      </c>
      <c r="F44" s="386"/>
      <c r="G44" s="235"/>
      <c r="H44" s="387"/>
      <c r="I44" s="377" t="s">
        <v>263</v>
      </c>
      <c r="J44" s="243" t="s">
        <v>877</v>
      </c>
      <c r="K44" s="243">
        <v>90.2</v>
      </c>
      <c r="L44" s="246">
        <v>0.954</v>
      </c>
      <c r="M44" s="386"/>
      <c r="N44" s="235"/>
      <c r="O44" s="388"/>
      <c r="P44" s="388"/>
      <c r="Q44" s="388"/>
      <c r="R44" s="388"/>
      <c r="S44" s="388"/>
      <c r="T44" s="388"/>
      <c r="U44" s="388"/>
      <c r="V44" s="388"/>
      <c r="W44" s="388"/>
      <c r="X44" s="388"/>
      <c r="Y44" s="388"/>
      <c r="Z44" s="388"/>
    </row>
    <row r="45">
      <c r="A45" s="385"/>
      <c r="B45" s="377" t="s">
        <v>264</v>
      </c>
      <c r="C45" s="243" t="s">
        <v>879</v>
      </c>
      <c r="D45" s="243">
        <v>443.32</v>
      </c>
      <c r="E45" s="246">
        <v>1.0</v>
      </c>
      <c r="F45" s="386"/>
      <c r="G45" s="235"/>
      <c r="H45" s="387"/>
      <c r="I45" s="377" t="s">
        <v>264</v>
      </c>
      <c r="J45" s="243" t="s">
        <v>879</v>
      </c>
      <c r="K45" s="243">
        <v>454.6</v>
      </c>
      <c r="L45" s="246">
        <v>1.0</v>
      </c>
      <c r="M45" s="386"/>
      <c r="N45" s="235"/>
      <c r="O45" s="388"/>
      <c r="P45" s="388"/>
      <c r="Q45" s="388"/>
      <c r="R45" s="388"/>
      <c r="S45" s="388"/>
      <c r="T45" s="388"/>
      <c r="U45" s="388"/>
      <c r="V45" s="388"/>
      <c r="W45" s="388"/>
      <c r="X45" s="388"/>
      <c r="Y45" s="388"/>
      <c r="Z45" s="388"/>
    </row>
    <row r="46">
      <c r="A46" s="385"/>
      <c r="B46" s="377" t="s">
        <v>265</v>
      </c>
      <c r="C46" s="243" t="s">
        <v>417</v>
      </c>
      <c r="D46" s="243">
        <v>1380.22</v>
      </c>
      <c r="E46" s="246">
        <v>1.0</v>
      </c>
      <c r="F46" s="386"/>
      <c r="G46" s="235"/>
      <c r="H46" s="387"/>
      <c r="I46" s="377" t="s">
        <v>265</v>
      </c>
      <c r="J46" s="243" t="s">
        <v>417</v>
      </c>
      <c r="K46" s="243">
        <v>2306.0</v>
      </c>
      <c r="L46" s="246">
        <f>K46/2300</f>
        <v>1.002608696</v>
      </c>
      <c r="M46" s="386"/>
      <c r="N46" s="235"/>
      <c r="O46" s="388"/>
      <c r="P46" s="388"/>
      <c r="Q46" s="388"/>
      <c r="R46" s="388"/>
      <c r="S46" s="388"/>
      <c r="T46" s="388"/>
      <c r="U46" s="388"/>
      <c r="V46" s="388"/>
      <c r="W46" s="388"/>
      <c r="X46" s="388"/>
      <c r="Y46" s="388"/>
      <c r="Z46" s="388"/>
    </row>
    <row r="47">
      <c r="A47" s="385"/>
      <c r="B47" s="377" t="s">
        <v>267</v>
      </c>
      <c r="C47" s="243" t="s">
        <v>911</v>
      </c>
      <c r="D47" s="243">
        <v>42.31</v>
      </c>
      <c r="E47" s="246">
        <v>1.0</v>
      </c>
      <c r="F47" s="386"/>
      <c r="G47" s="235"/>
      <c r="H47" s="387"/>
      <c r="I47" s="377" t="s">
        <v>267</v>
      </c>
      <c r="J47" s="243" t="s">
        <v>911</v>
      </c>
      <c r="K47" s="243">
        <v>22.2</v>
      </c>
      <c r="L47" s="246">
        <v>1.0</v>
      </c>
      <c r="M47" s="386"/>
      <c r="N47" s="235"/>
      <c r="O47" s="388"/>
      <c r="P47" s="388"/>
      <c r="Q47" s="388"/>
      <c r="R47" s="388"/>
      <c r="S47" s="388"/>
      <c r="T47" s="388"/>
      <c r="U47" s="388"/>
      <c r="V47" s="388"/>
      <c r="W47" s="388"/>
      <c r="X47" s="388"/>
      <c r="Y47" s="388"/>
      <c r="Z47" s="388"/>
    </row>
    <row r="48">
      <c r="A48" s="385"/>
      <c r="B48" s="377" t="s">
        <v>269</v>
      </c>
      <c r="C48" s="243" t="s">
        <v>488</v>
      </c>
      <c r="D48" s="243">
        <v>65.21</v>
      </c>
      <c r="E48" s="246">
        <v>1.0</v>
      </c>
      <c r="F48" s="386"/>
      <c r="G48" s="235"/>
      <c r="H48" s="387"/>
      <c r="I48" s="377" t="s">
        <v>269</v>
      </c>
      <c r="J48" s="243" t="s">
        <v>488</v>
      </c>
      <c r="K48" s="243">
        <v>38.1</v>
      </c>
      <c r="L48" s="246">
        <v>1.0</v>
      </c>
      <c r="M48" s="386"/>
      <c r="N48" s="235"/>
      <c r="O48" s="388"/>
      <c r="P48" s="388"/>
      <c r="Q48" s="388"/>
      <c r="R48" s="388"/>
      <c r="S48" s="388"/>
      <c r="T48" s="388"/>
      <c r="U48" s="388"/>
      <c r="V48" s="388"/>
      <c r="W48" s="388"/>
      <c r="X48" s="388"/>
      <c r="Y48" s="388"/>
      <c r="Z48" s="388"/>
    </row>
    <row r="49">
      <c r="A49" s="385"/>
      <c r="B49" s="377" t="s">
        <v>313</v>
      </c>
      <c r="C49" s="243" t="s">
        <v>715</v>
      </c>
      <c r="D49" s="243">
        <v>34.53</v>
      </c>
      <c r="E49" s="246">
        <v>1.0</v>
      </c>
      <c r="F49" s="386"/>
      <c r="G49" s="235"/>
      <c r="H49" s="389"/>
      <c r="I49" s="377" t="s">
        <v>313</v>
      </c>
      <c r="J49" s="243" t="s">
        <v>715</v>
      </c>
      <c r="K49" s="243">
        <v>25.8</v>
      </c>
      <c r="L49" s="246">
        <v>0.859</v>
      </c>
      <c r="M49" s="386"/>
      <c r="N49" s="235"/>
      <c r="O49" s="388"/>
      <c r="P49" s="388"/>
      <c r="Q49" s="388"/>
      <c r="R49" s="388"/>
      <c r="S49" s="388"/>
      <c r="T49" s="388"/>
      <c r="U49" s="388"/>
      <c r="V49" s="388"/>
      <c r="W49" s="388"/>
      <c r="X49" s="388"/>
      <c r="Y49" s="388"/>
      <c r="Z49" s="388"/>
    </row>
    <row r="50">
      <c r="A50" s="385"/>
      <c r="B50" s="377" t="s">
        <v>420</v>
      </c>
      <c r="C50" s="243" t="s">
        <v>421</v>
      </c>
      <c r="D50" s="243">
        <v>86.86</v>
      </c>
      <c r="E50" s="246">
        <v>1.0</v>
      </c>
      <c r="F50" s="386"/>
      <c r="G50" s="235"/>
      <c r="H50" s="389"/>
      <c r="I50" s="377" t="s">
        <v>420</v>
      </c>
      <c r="J50" s="243" t="s">
        <v>421</v>
      </c>
      <c r="K50" s="243">
        <v>25.8</v>
      </c>
      <c r="L50" s="246">
        <v>0.344</v>
      </c>
      <c r="M50" s="386"/>
      <c r="N50" s="235"/>
      <c r="O50" s="388"/>
      <c r="P50" s="388"/>
      <c r="Q50" s="388"/>
      <c r="R50" s="388"/>
      <c r="S50" s="388"/>
      <c r="T50" s="388"/>
      <c r="U50" s="388"/>
      <c r="V50" s="388"/>
      <c r="W50" s="388"/>
      <c r="X50" s="388"/>
      <c r="Y50" s="388"/>
      <c r="Z50" s="388"/>
    </row>
    <row r="51">
      <c r="A51" s="385"/>
      <c r="B51" s="377" t="s">
        <v>422</v>
      </c>
      <c r="C51" s="243" t="s">
        <v>423</v>
      </c>
      <c r="D51" s="243">
        <v>0.03</v>
      </c>
      <c r="E51" s="246">
        <v>0.043</v>
      </c>
      <c r="F51" s="386"/>
      <c r="G51" s="235"/>
      <c r="H51" s="389"/>
      <c r="I51" s="377" t="s">
        <v>422</v>
      </c>
      <c r="J51" s="243" t="s">
        <v>423</v>
      </c>
      <c r="K51" s="243">
        <v>0.0718</v>
      </c>
      <c r="L51" s="246">
        <v>0.103</v>
      </c>
      <c r="M51" s="386"/>
      <c r="N51" s="235"/>
      <c r="O51" s="388"/>
      <c r="P51" s="388"/>
      <c r="Q51" s="388"/>
      <c r="R51" s="388"/>
      <c r="S51" s="388"/>
      <c r="T51" s="388"/>
      <c r="U51" s="388"/>
      <c r="V51" s="388"/>
      <c r="W51" s="388"/>
      <c r="X51" s="388"/>
      <c r="Y51" s="388"/>
      <c r="Z51" s="388"/>
    </row>
    <row r="52">
      <c r="A52" s="385"/>
      <c r="B52" s="377" t="s">
        <v>292</v>
      </c>
      <c r="C52" s="243">
        <v>1.3</v>
      </c>
      <c r="D52" s="243">
        <v>2.71</v>
      </c>
      <c r="E52" s="246">
        <v>1.0</v>
      </c>
      <c r="F52" s="386"/>
      <c r="G52" s="235"/>
      <c r="H52" s="387"/>
      <c r="I52" s="377" t="s">
        <v>292</v>
      </c>
      <c r="J52" s="243">
        <v>1.3</v>
      </c>
      <c r="K52" s="243">
        <v>0.7</v>
      </c>
      <c r="L52" s="246">
        <v>0.512</v>
      </c>
      <c r="M52" s="386"/>
      <c r="N52" s="235"/>
      <c r="O52" s="388"/>
      <c r="P52" s="388"/>
      <c r="Q52" s="388"/>
      <c r="R52" s="388"/>
      <c r="S52" s="388"/>
      <c r="T52" s="388"/>
      <c r="U52" s="388"/>
      <c r="V52" s="388"/>
      <c r="W52" s="388"/>
      <c r="X52" s="388"/>
      <c r="Y52" s="388"/>
      <c r="Z52" s="388"/>
    </row>
    <row r="53">
      <c r="A53" s="385"/>
      <c r="B53" s="377" t="s">
        <v>296</v>
      </c>
      <c r="C53" s="243">
        <v>0.0024</v>
      </c>
      <c r="D53" s="243">
        <v>0.0</v>
      </c>
      <c r="E53" s="246">
        <v>0.0</v>
      </c>
      <c r="F53" s="386"/>
      <c r="G53" s="235"/>
      <c r="H53" s="387"/>
      <c r="I53" s="377" t="s">
        <v>296</v>
      </c>
      <c r="J53" s="243">
        <v>0.0024</v>
      </c>
      <c r="K53" s="243">
        <v>4.0E-4</v>
      </c>
      <c r="L53" s="246">
        <v>0.167</v>
      </c>
      <c r="M53" s="386"/>
      <c r="N53" s="235"/>
      <c r="O53" s="388"/>
      <c r="P53" s="388"/>
      <c r="Q53" s="388"/>
      <c r="R53" s="388"/>
      <c r="S53" s="388"/>
      <c r="T53" s="388"/>
      <c r="U53" s="388"/>
      <c r="V53" s="388"/>
      <c r="W53" s="388"/>
      <c r="X53" s="388"/>
      <c r="Y53" s="388"/>
      <c r="Z53" s="388"/>
    </row>
    <row r="54">
      <c r="A54" s="385"/>
      <c r="B54" s="452" t="s">
        <v>299</v>
      </c>
      <c r="C54" s="453" t="s">
        <v>426</v>
      </c>
      <c r="D54" s="243">
        <v>20.99</v>
      </c>
      <c r="E54" s="246">
        <v>1.166</v>
      </c>
      <c r="F54" s="386"/>
      <c r="G54" s="235"/>
      <c r="H54" s="389"/>
      <c r="I54" s="452" t="s">
        <v>299</v>
      </c>
      <c r="J54" s="453" t="s">
        <v>426</v>
      </c>
      <c r="K54" s="453">
        <v>21.5</v>
      </c>
      <c r="L54" s="454">
        <f>K54/18</f>
        <v>1.194444444</v>
      </c>
      <c r="M54" s="455"/>
      <c r="N54" s="235"/>
      <c r="O54" s="388"/>
      <c r="P54" s="388"/>
      <c r="Q54" s="388"/>
      <c r="R54" s="388"/>
      <c r="S54" s="388"/>
      <c r="T54" s="388"/>
      <c r="U54" s="388"/>
      <c r="V54" s="388"/>
      <c r="W54" s="388"/>
      <c r="X54" s="388"/>
      <c r="Y54" s="388"/>
      <c r="Z54" s="388"/>
    </row>
    <row r="55">
      <c r="A55" s="385"/>
      <c r="B55" s="452" t="s">
        <v>427</v>
      </c>
      <c r="C55" s="453" t="s">
        <v>428</v>
      </c>
      <c r="D55" s="243">
        <v>8.59</v>
      </c>
      <c r="E55" s="246">
        <v>1.0</v>
      </c>
      <c r="F55" s="386"/>
      <c r="G55" s="235"/>
      <c r="H55" s="389"/>
      <c r="I55" s="452" t="s">
        <v>427</v>
      </c>
      <c r="J55" s="453" t="s">
        <v>428</v>
      </c>
      <c r="K55" s="453">
        <v>6.7</v>
      </c>
      <c r="L55" s="454">
        <v>0.839</v>
      </c>
      <c r="M55" s="455"/>
      <c r="N55" s="235"/>
      <c r="O55" s="388"/>
      <c r="P55" s="388"/>
      <c r="Q55" s="388"/>
      <c r="R55" s="388"/>
      <c r="S55" s="388"/>
      <c r="T55" s="388"/>
      <c r="U55" s="388"/>
      <c r="V55" s="388"/>
      <c r="W55" s="388"/>
      <c r="X55" s="388"/>
      <c r="Y55" s="388"/>
      <c r="Z55" s="388"/>
    </row>
    <row r="56">
      <c r="A56" s="385"/>
      <c r="B56" s="452" t="s">
        <v>297</v>
      </c>
      <c r="C56" s="453" t="s">
        <v>429</v>
      </c>
      <c r="D56" s="243">
        <v>990.47</v>
      </c>
      <c r="E56" s="246">
        <v>1.0</v>
      </c>
      <c r="F56" s="386"/>
      <c r="G56" s="235"/>
      <c r="H56" s="389"/>
      <c r="I56" s="452" t="s">
        <v>297</v>
      </c>
      <c r="J56" s="453" t="s">
        <v>429</v>
      </c>
      <c r="K56" s="453">
        <v>476.5</v>
      </c>
      <c r="L56" s="454">
        <v>0.502</v>
      </c>
      <c r="M56" s="455"/>
      <c r="N56" s="235"/>
      <c r="O56" s="388"/>
      <c r="P56" s="388"/>
      <c r="Q56" s="388"/>
      <c r="R56" s="388"/>
      <c r="S56" s="388"/>
      <c r="T56" s="388"/>
      <c r="U56" s="388"/>
      <c r="V56" s="388"/>
      <c r="W56" s="388"/>
      <c r="X56" s="388"/>
      <c r="Y56" s="388"/>
      <c r="Z56" s="388"/>
    </row>
    <row r="57">
      <c r="A57" s="385"/>
      <c r="B57" s="452" t="s">
        <v>304</v>
      </c>
      <c r="C57" s="453" t="s">
        <v>716</v>
      </c>
      <c r="D57" s="243">
        <v>4297.06</v>
      </c>
      <c r="E57" s="246">
        <v>1.0</v>
      </c>
      <c r="F57" s="386"/>
      <c r="G57" s="235"/>
      <c r="H57" s="389"/>
      <c r="I57" s="452" t="s">
        <v>304</v>
      </c>
      <c r="J57" s="453" t="s">
        <v>716</v>
      </c>
      <c r="K57" s="453">
        <v>2105.4</v>
      </c>
      <c r="L57" s="454">
        <v>0.619</v>
      </c>
      <c r="M57" s="455"/>
      <c r="N57" s="235"/>
      <c r="O57" s="388"/>
      <c r="P57" s="388"/>
      <c r="Q57" s="388"/>
      <c r="R57" s="388"/>
      <c r="S57" s="388"/>
      <c r="T57" s="388"/>
      <c r="U57" s="388"/>
      <c r="V57" s="388"/>
      <c r="W57" s="388"/>
      <c r="X57" s="388"/>
      <c r="Y57" s="388"/>
      <c r="Z57" s="388"/>
    </row>
    <row r="58">
      <c r="A58" s="385"/>
      <c r="B58" s="452" t="s">
        <v>271</v>
      </c>
      <c r="C58" s="453" t="s">
        <v>912</v>
      </c>
      <c r="D58" s="243">
        <v>22.77</v>
      </c>
      <c r="E58" s="246">
        <v>1.0</v>
      </c>
      <c r="F58" s="386"/>
      <c r="G58" s="235"/>
      <c r="H58" s="389"/>
      <c r="I58" s="452" t="s">
        <v>271</v>
      </c>
      <c r="J58" s="453" t="s">
        <v>912</v>
      </c>
      <c r="K58" s="453">
        <v>31.8</v>
      </c>
      <c r="L58" s="454">
        <f>K58/23</f>
        <v>1.382608696</v>
      </c>
      <c r="M58" s="455"/>
      <c r="N58" s="235"/>
      <c r="O58" s="388"/>
      <c r="P58" s="388"/>
      <c r="Q58" s="388"/>
      <c r="R58" s="388"/>
      <c r="S58" s="388"/>
      <c r="T58" s="388"/>
      <c r="U58" s="388"/>
      <c r="V58" s="388"/>
      <c r="W58" s="388"/>
      <c r="X58" s="388"/>
      <c r="Y58" s="388"/>
      <c r="Z58" s="388"/>
    </row>
    <row r="59">
      <c r="A59" s="385"/>
      <c r="B59" s="452" t="s">
        <v>492</v>
      </c>
      <c r="C59" s="453" t="s">
        <v>493</v>
      </c>
      <c r="D59" s="243">
        <v>468.19</v>
      </c>
      <c r="E59" s="246">
        <v>1.0</v>
      </c>
      <c r="F59" s="386"/>
      <c r="G59" s="235"/>
      <c r="H59" s="389"/>
      <c r="I59" s="452" t="s">
        <v>492</v>
      </c>
      <c r="J59" s="453" t="s">
        <v>493</v>
      </c>
      <c r="K59" s="453">
        <v>266.0</v>
      </c>
      <c r="L59" s="454">
        <v>1.0</v>
      </c>
      <c r="M59" s="455"/>
      <c r="N59" s="235"/>
      <c r="O59" s="388"/>
      <c r="P59" s="388"/>
      <c r="Q59" s="388"/>
      <c r="R59" s="388"/>
      <c r="S59" s="388"/>
      <c r="T59" s="388"/>
      <c r="U59" s="388"/>
      <c r="V59" s="388"/>
      <c r="W59" s="388"/>
      <c r="X59" s="388"/>
      <c r="Y59" s="388"/>
      <c r="Z59" s="388"/>
    </row>
    <row r="60">
      <c r="A60" s="385"/>
      <c r="B60" s="452" t="s">
        <v>559</v>
      </c>
      <c r="C60" s="453" t="s">
        <v>913</v>
      </c>
      <c r="D60" s="243">
        <v>0.34</v>
      </c>
      <c r="E60" s="246">
        <v>1.0</v>
      </c>
      <c r="F60" s="386"/>
      <c r="G60" s="235"/>
      <c r="H60" s="389"/>
      <c r="I60" s="452" t="s">
        <v>559</v>
      </c>
      <c r="J60" s="453" t="s">
        <v>913</v>
      </c>
      <c r="K60" s="453">
        <v>0.2</v>
      </c>
      <c r="L60" s="454">
        <v>1.0</v>
      </c>
      <c r="M60" s="455"/>
      <c r="N60" s="235"/>
      <c r="O60" s="388"/>
      <c r="P60" s="388"/>
      <c r="Q60" s="388"/>
      <c r="R60" s="388"/>
      <c r="S60" s="388"/>
      <c r="T60" s="388"/>
      <c r="U60" s="388"/>
      <c r="V60" s="388"/>
      <c r="W60" s="388"/>
      <c r="X60" s="388"/>
      <c r="Y60" s="388"/>
      <c r="Z60" s="388"/>
    </row>
    <row r="61">
      <c r="A61" s="28"/>
      <c r="B61" s="28"/>
      <c r="C61" s="28"/>
      <c r="D61" s="28"/>
      <c r="E61" s="28"/>
      <c r="F61" s="28"/>
      <c r="G61" s="28"/>
    </row>
    <row r="62" ht="28.5" customHeight="1">
      <c r="A62" s="142"/>
      <c r="B62" s="234" t="s">
        <v>273</v>
      </c>
      <c r="C62" s="235"/>
      <c r="D62" s="235"/>
      <c r="E62" s="235"/>
      <c r="F62" s="235"/>
      <c r="G62" s="235"/>
      <c r="H62" s="235"/>
      <c r="I62" s="235"/>
      <c r="J62" s="235"/>
      <c r="K62" s="235"/>
      <c r="L62" s="235"/>
      <c r="M62" s="235"/>
      <c r="N62" s="236"/>
      <c r="O62" s="146"/>
      <c r="P62" s="146"/>
      <c r="Q62" s="146"/>
      <c r="R62" s="146"/>
      <c r="S62" s="146"/>
      <c r="T62" s="146"/>
      <c r="U62" s="146"/>
      <c r="V62" s="146"/>
      <c r="W62" s="146"/>
      <c r="X62" s="146"/>
      <c r="Y62" s="146"/>
      <c r="Z62" s="146"/>
    </row>
    <row r="63" ht="23.25" customHeight="1">
      <c r="A63" s="147"/>
      <c r="B63" s="237" t="s">
        <v>274</v>
      </c>
      <c r="C63" s="235"/>
      <c r="D63" s="235"/>
      <c r="E63" s="235"/>
      <c r="F63" s="235"/>
      <c r="G63" s="236"/>
      <c r="H63" s="185"/>
      <c r="I63" s="152" t="s">
        <v>275</v>
      </c>
      <c r="J63" s="149"/>
      <c r="K63" s="149"/>
      <c r="L63" s="149"/>
      <c r="M63" s="149"/>
      <c r="N63" s="150"/>
      <c r="O63" s="153"/>
      <c r="P63" s="153"/>
      <c r="Q63" s="153"/>
      <c r="R63" s="153"/>
      <c r="S63" s="153"/>
      <c r="T63" s="153"/>
      <c r="U63" s="153"/>
      <c r="V63" s="153"/>
      <c r="W63" s="153"/>
      <c r="X63" s="153"/>
      <c r="Y63" s="153"/>
      <c r="Z63" s="153"/>
    </row>
    <row r="64">
      <c r="A64" s="28"/>
      <c r="B64" s="238" t="s">
        <v>258</v>
      </c>
      <c r="C64" s="238" t="s">
        <v>276</v>
      </c>
      <c r="D64" s="238" t="s">
        <v>260</v>
      </c>
      <c r="E64" s="376" t="s">
        <v>261</v>
      </c>
      <c r="F64" s="251" t="s">
        <v>244</v>
      </c>
      <c r="G64" s="252"/>
      <c r="H64" s="190"/>
      <c r="I64" s="239" t="s">
        <v>258</v>
      </c>
      <c r="J64" s="239" t="s">
        <v>276</v>
      </c>
      <c r="K64" s="239" t="s">
        <v>260</v>
      </c>
      <c r="L64" s="240" t="s">
        <v>261</v>
      </c>
      <c r="M64" s="241"/>
      <c r="N64" s="150"/>
    </row>
    <row r="65">
      <c r="A65" s="385"/>
      <c r="B65" s="377" t="s">
        <v>282</v>
      </c>
      <c r="C65" s="243" t="s">
        <v>283</v>
      </c>
      <c r="D65" s="243">
        <v>0.0</v>
      </c>
      <c r="E65" s="246">
        <v>0.0</v>
      </c>
      <c r="F65" s="391"/>
      <c r="G65" s="256"/>
      <c r="H65" s="387"/>
      <c r="I65" s="377" t="s">
        <v>282</v>
      </c>
      <c r="J65" s="243" t="s">
        <v>283</v>
      </c>
      <c r="K65" s="243">
        <v>0.0</v>
      </c>
      <c r="L65" s="246">
        <v>0.0</v>
      </c>
      <c r="M65" s="391"/>
      <c r="N65" s="256"/>
      <c r="O65" s="388"/>
      <c r="P65" s="388"/>
      <c r="Q65" s="388"/>
      <c r="R65" s="388"/>
      <c r="S65" s="388"/>
      <c r="T65" s="388"/>
      <c r="U65" s="388"/>
      <c r="V65" s="388"/>
      <c r="W65" s="388"/>
      <c r="X65" s="388"/>
      <c r="Y65" s="388"/>
      <c r="Z65" s="388"/>
    </row>
    <row r="66">
      <c r="A66" s="385"/>
      <c r="B66" s="377" t="s">
        <v>284</v>
      </c>
      <c r="C66" s="243" t="s">
        <v>285</v>
      </c>
      <c r="D66" s="243">
        <v>6.01</v>
      </c>
      <c r="E66" s="246">
        <v>0.4006667</v>
      </c>
      <c r="F66" s="386"/>
      <c r="G66" s="235"/>
      <c r="H66" s="387"/>
      <c r="I66" s="377" t="s">
        <v>284</v>
      </c>
      <c r="J66" s="243" t="s">
        <v>285</v>
      </c>
      <c r="K66" s="243">
        <v>3.4</v>
      </c>
      <c r="L66" s="246">
        <v>0.228</v>
      </c>
      <c r="M66" s="386"/>
      <c r="N66" s="235"/>
      <c r="O66" s="388"/>
      <c r="P66" s="388"/>
      <c r="Q66" s="388"/>
      <c r="R66" s="388"/>
      <c r="S66" s="388"/>
      <c r="T66" s="388"/>
      <c r="U66" s="388"/>
      <c r="V66" s="388"/>
      <c r="W66" s="388"/>
      <c r="X66" s="388"/>
      <c r="Y66" s="388"/>
      <c r="Z66" s="388"/>
    </row>
    <row r="67">
      <c r="A67" s="385"/>
      <c r="B67" s="377" t="s">
        <v>286</v>
      </c>
      <c r="C67" s="243">
        <v>0.1</v>
      </c>
      <c r="D67" s="243">
        <v>0.1</v>
      </c>
      <c r="E67" s="246">
        <v>0.8333333</v>
      </c>
      <c r="F67" s="386"/>
      <c r="G67" s="235"/>
      <c r="H67" s="387"/>
      <c r="I67" s="377" t="s">
        <v>286</v>
      </c>
      <c r="J67" s="243">
        <v>0.1</v>
      </c>
      <c r="K67" s="243">
        <v>0.0558</v>
      </c>
      <c r="L67" s="246">
        <v>0.465</v>
      </c>
      <c r="M67" s="386"/>
      <c r="N67" s="235"/>
      <c r="O67" s="388"/>
      <c r="P67" s="388"/>
      <c r="Q67" s="388"/>
      <c r="R67" s="388"/>
      <c r="S67" s="388"/>
      <c r="T67" s="388"/>
      <c r="U67" s="388"/>
      <c r="V67" s="388"/>
      <c r="W67" s="388"/>
      <c r="X67" s="388"/>
      <c r="Y67" s="388"/>
      <c r="Z67" s="388"/>
    </row>
    <row r="68">
      <c r="A68" s="385"/>
      <c r="B68" s="377" t="s">
        <v>287</v>
      </c>
      <c r="C68" s="243">
        <v>1.2</v>
      </c>
      <c r="D68" s="243">
        <v>2.28</v>
      </c>
      <c r="E68" s="246">
        <v>1.0</v>
      </c>
      <c r="F68" s="386"/>
      <c r="G68" s="235"/>
      <c r="H68" s="387"/>
      <c r="I68" s="377" t="s">
        <v>287</v>
      </c>
      <c r="J68" s="243">
        <v>1.2</v>
      </c>
      <c r="K68" s="243">
        <v>2.3</v>
      </c>
      <c r="L68" s="246">
        <v>1.0</v>
      </c>
      <c r="M68" s="386"/>
      <c r="N68" s="235"/>
      <c r="O68" s="388"/>
      <c r="P68" s="388"/>
      <c r="Q68" s="388"/>
      <c r="R68" s="388"/>
      <c r="S68" s="388"/>
      <c r="T68" s="388"/>
      <c r="U68" s="388"/>
      <c r="V68" s="388"/>
      <c r="W68" s="388"/>
      <c r="X68" s="388"/>
      <c r="Y68" s="388"/>
      <c r="Z68" s="388"/>
    </row>
    <row r="69">
      <c r="A69" s="385"/>
      <c r="B69" s="377" t="s">
        <v>288</v>
      </c>
      <c r="C69" s="243">
        <v>1.3</v>
      </c>
      <c r="D69" s="243">
        <v>2.33</v>
      </c>
      <c r="E69" s="246">
        <v>1.0</v>
      </c>
      <c r="F69" s="386"/>
      <c r="G69" s="235"/>
      <c r="H69" s="387"/>
      <c r="I69" s="377" t="s">
        <v>288</v>
      </c>
      <c r="J69" s="243">
        <v>1.3</v>
      </c>
      <c r="K69" s="243">
        <v>2.0</v>
      </c>
      <c r="L69" s="246">
        <v>1.0</v>
      </c>
      <c r="M69" s="386"/>
      <c r="N69" s="235"/>
      <c r="O69" s="388"/>
      <c r="P69" s="388"/>
      <c r="Q69" s="388"/>
      <c r="R69" s="388"/>
      <c r="S69" s="388"/>
      <c r="T69" s="388"/>
      <c r="U69" s="388"/>
      <c r="V69" s="388"/>
      <c r="W69" s="388"/>
      <c r="X69" s="388"/>
      <c r="Y69" s="388"/>
      <c r="Z69" s="388"/>
    </row>
    <row r="70">
      <c r="A70" s="385"/>
      <c r="B70" s="377" t="s">
        <v>289</v>
      </c>
      <c r="C70" s="243" t="s">
        <v>290</v>
      </c>
      <c r="D70" s="243">
        <v>34.66</v>
      </c>
      <c r="E70" s="246">
        <v>1.0</v>
      </c>
      <c r="F70" s="386"/>
      <c r="G70" s="235"/>
      <c r="H70" s="387"/>
      <c r="I70" s="377" t="s">
        <v>289</v>
      </c>
      <c r="J70" s="243" t="s">
        <v>290</v>
      </c>
      <c r="K70" s="243">
        <v>21.2</v>
      </c>
      <c r="L70" s="246">
        <v>1.0</v>
      </c>
      <c r="M70" s="386"/>
      <c r="N70" s="235"/>
      <c r="O70" s="388"/>
      <c r="P70" s="388"/>
      <c r="Q70" s="388"/>
      <c r="R70" s="388"/>
      <c r="S70" s="388"/>
      <c r="T70" s="388"/>
      <c r="U70" s="388"/>
      <c r="V70" s="388"/>
      <c r="W70" s="388"/>
      <c r="X70" s="388"/>
      <c r="Y70" s="388"/>
      <c r="Z70" s="388"/>
    </row>
    <row r="71">
      <c r="A71" s="385"/>
      <c r="B71" s="377" t="s">
        <v>291</v>
      </c>
      <c r="C71" s="243">
        <v>5.0</v>
      </c>
      <c r="D71" s="243">
        <v>6.32</v>
      </c>
      <c r="E71" s="246">
        <v>1.0</v>
      </c>
      <c r="F71" s="386"/>
      <c r="G71" s="235"/>
      <c r="H71" s="387"/>
      <c r="I71" s="377" t="s">
        <v>291</v>
      </c>
      <c r="J71" s="243">
        <v>5.0</v>
      </c>
      <c r="K71" s="243">
        <v>2.7</v>
      </c>
      <c r="L71" s="246">
        <v>0.537</v>
      </c>
      <c r="M71" s="386"/>
      <c r="N71" s="235"/>
      <c r="O71" s="388"/>
      <c r="P71" s="388"/>
      <c r="Q71" s="388"/>
      <c r="R71" s="388"/>
      <c r="S71" s="388"/>
      <c r="T71" s="388"/>
      <c r="U71" s="388"/>
      <c r="V71" s="388"/>
      <c r="W71" s="388"/>
      <c r="X71" s="388"/>
      <c r="Y71" s="388"/>
      <c r="Z71" s="388"/>
    </row>
    <row r="72">
      <c r="A72" s="385"/>
      <c r="B72" s="377" t="s">
        <v>294</v>
      </c>
      <c r="C72" s="243" t="s">
        <v>914</v>
      </c>
      <c r="D72" s="243">
        <v>0.78</v>
      </c>
      <c r="E72" s="246">
        <v>1.0</v>
      </c>
      <c r="F72" s="386"/>
      <c r="G72" s="235"/>
      <c r="H72" s="387"/>
      <c r="I72" s="377" t="s">
        <v>294</v>
      </c>
      <c r="J72" s="243" t="s">
        <v>914</v>
      </c>
      <c r="K72" s="243">
        <v>0.7</v>
      </c>
      <c r="L72" s="246">
        <v>1.0</v>
      </c>
      <c r="M72" s="386"/>
      <c r="N72" s="235"/>
      <c r="O72" s="388"/>
      <c r="P72" s="388"/>
      <c r="Q72" s="388"/>
      <c r="R72" s="388"/>
      <c r="S72" s="388"/>
      <c r="T72" s="388"/>
      <c r="U72" s="388"/>
      <c r="V72" s="388"/>
      <c r="W72" s="388"/>
      <c r="X72" s="388"/>
      <c r="Y72" s="388"/>
      <c r="Z72" s="388"/>
    </row>
    <row r="73">
      <c r="A73" s="385"/>
      <c r="B73" s="377" t="s">
        <v>302</v>
      </c>
      <c r="C73" s="243" t="s">
        <v>303</v>
      </c>
      <c r="D73" s="243">
        <v>2072.56</v>
      </c>
      <c r="E73" s="246">
        <v>1.0</v>
      </c>
      <c r="F73" s="386"/>
      <c r="G73" s="235"/>
      <c r="H73" s="387"/>
      <c r="I73" s="377" t="s">
        <v>302</v>
      </c>
      <c r="J73" s="243" t="s">
        <v>303</v>
      </c>
      <c r="K73" s="243">
        <v>1359.2</v>
      </c>
      <c r="L73" s="246">
        <v>1.0</v>
      </c>
      <c r="M73" s="386"/>
      <c r="N73" s="235"/>
      <c r="O73" s="388"/>
      <c r="P73" s="388"/>
      <c r="Q73" s="388"/>
      <c r="R73" s="388"/>
      <c r="S73" s="388"/>
      <c r="T73" s="388"/>
      <c r="U73" s="388"/>
      <c r="V73" s="388"/>
      <c r="W73" s="388"/>
      <c r="X73" s="388"/>
      <c r="Y73" s="388"/>
      <c r="Z73" s="388"/>
    </row>
    <row r="74">
      <c r="A74" s="385"/>
      <c r="B74" s="377" t="s">
        <v>307</v>
      </c>
      <c r="C74" s="243" t="s">
        <v>308</v>
      </c>
      <c r="D74" s="243">
        <v>2.21</v>
      </c>
      <c r="E74" s="246">
        <v>1.0</v>
      </c>
      <c r="F74" s="386"/>
      <c r="G74" s="235"/>
      <c r="H74" s="387"/>
      <c r="I74" s="377" t="s">
        <v>307</v>
      </c>
      <c r="J74" s="243" t="s">
        <v>308</v>
      </c>
      <c r="K74" s="243">
        <v>1.3</v>
      </c>
      <c r="L74" s="246">
        <v>1.0</v>
      </c>
      <c r="M74" s="386"/>
      <c r="N74" s="235"/>
      <c r="O74" s="388"/>
      <c r="P74" s="388"/>
      <c r="Q74" s="388"/>
      <c r="R74" s="388"/>
      <c r="S74" s="388"/>
      <c r="T74" s="388"/>
      <c r="U74" s="388"/>
      <c r="V74" s="388"/>
      <c r="W74" s="388"/>
      <c r="X74" s="388"/>
      <c r="Y74" s="388"/>
      <c r="Z74" s="388"/>
    </row>
    <row r="75">
      <c r="A75" s="385"/>
      <c r="B75" s="377" t="s">
        <v>309</v>
      </c>
      <c r="C75" s="243" t="s">
        <v>310</v>
      </c>
      <c r="D75" s="243">
        <v>4.78</v>
      </c>
      <c r="E75" s="246">
        <v>1.0</v>
      </c>
      <c r="F75" s="386"/>
      <c r="G75" s="235"/>
      <c r="H75" s="387"/>
      <c r="I75" s="377" t="s">
        <v>309</v>
      </c>
      <c r="J75" s="243" t="s">
        <v>310</v>
      </c>
      <c r="K75" s="243">
        <v>3.9</v>
      </c>
      <c r="L75" s="246">
        <v>1.0</v>
      </c>
      <c r="M75" s="386"/>
      <c r="N75" s="235"/>
      <c r="O75" s="388"/>
      <c r="P75" s="388"/>
      <c r="Q75" s="388"/>
      <c r="R75" s="388"/>
      <c r="S75" s="388"/>
      <c r="T75" s="388"/>
      <c r="U75" s="388"/>
      <c r="V75" s="388"/>
      <c r="W75" s="388"/>
      <c r="X75" s="388"/>
      <c r="Y75" s="388"/>
      <c r="Z75" s="388"/>
    </row>
    <row r="76">
      <c r="A76" s="385"/>
      <c r="B76" s="377" t="s">
        <v>311</v>
      </c>
      <c r="C76" s="243" t="s">
        <v>312</v>
      </c>
      <c r="D76" s="243">
        <v>0.17</v>
      </c>
      <c r="E76" s="246">
        <v>1.0</v>
      </c>
      <c r="F76" s="386"/>
      <c r="G76" s="235"/>
      <c r="H76" s="387"/>
      <c r="I76" s="377" t="s">
        <v>311</v>
      </c>
      <c r="J76" s="243" t="s">
        <v>312</v>
      </c>
      <c r="K76" s="243">
        <v>0.1</v>
      </c>
      <c r="L76" s="246">
        <v>1.0</v>
      </c>
      <c r="M76" s="386"/>
      <c r="N76" s="235"/>
      <c r="O76" s="388"/>
      <c r="P76" s="388"/>
      <c r="Q76" s="388"/>
      <c r="R76" s="388"/>
      <c r="S76" s="388"/>
      <c r="T76" s="388"/>
      <c r="U76" s="388"/>
      <c r="V76" s="388"/>
      <c r="W76" s="388"/>
      <c r="X76" s="388"/>
      <c r="Y76" s="388"/>
      <c r="Z76" s="388"/>
    </row>
    <row r="77">
      <c r="A77" s="385"/>
      <c r="B77" s="377" t="s">
        <v>167</v>
      </c>
      <c r="C77" s="243">
        <v>3700.0</v>
      </c>
      <c r="D77" s="243">
        <v>964.79</v>
      </c>
      <c r="E77" s="246">
        <v>0.2607541</v>
      </c>
      <c r="F77" s="386"/>
      <c r="G77" s="235"/>
      <c r="H77" s="387"/>
      <c r="I77" s="377" t="s">
        <v>167</v>
      </c>
      <c r="J77" s="243">
        <v>3700.0</v>
      </c>
      <c r="K77" s="243">
        <v>374.0</v>
      </c>
      <c r="L77" s="246">
        <v>0.101</v>
      </c>
      <c r="M77" s="386"/>
      <c r="N77" s="235"/>
      <c r="O77" s="388"/>
      <c r="P77" s="388"/>
      <c r="Q77" s="388"/>
      <c r="R77" s="388"/>
      <c r="S77" s="388"/>
      <c r="T77" s="388"/>
      <c r="U77" s="388"/>
      <c r="V77" s="388"/>
      <c r="W77" s="388"/>
      <c r="X77" s="388"/>
      <c r="Y77" s="388"/>
      <c r="Z77" s="388"/>
    </row>
    <row r="78">
      <c r="A78" s="28"/>
    </row>
    <row r="79" ht="28.5" customHeight="1">
      <c r="A79" s="142"/>
      <c r="B79" s="261" t="s">
        <v>314</v>
      </c>
      <c r="C79" s="262"/>
      <c r="D79" s="262"/>
      <c r="E79" s="262"/>
      <c r="F79" s="262"/>
      <c r="G79" s="262"/>
      <c r="H79" s="262"/>
      <c r="I79" s="262"/>
      <c r="J79" s="262"/>
      <c r="K79" s="262"/>
      <c r="L79" s="262"/>
      <c r="M79" s="262"/>
      <c r="N79" s="263"/>
      <c r="O79" s="146"/>
      <c r="P79" s="146"/>
      <c r="Q79" s="146"/>
      <c r="R79" s="146"/>
      <c r="S79" s="146"/>
      <c r="T79" s="146"/>
      <c r="U79" s="146"/>
      <c r="V79" s="146"/>
      <c r="W79" s="146"/>
      <c r="X79" s="146"/>
      <c r="Y79" s="146"/>
      <c r="Z79" s="146"/>
    </row>
    <row r="80">
      <c r="A80" s="28"/>
      <c r="B80" s="264" t="s">
        <v>315</v>
      </c>
      <c r="C80" s="262"/>
      <c r="D80" s="262"/>
      <c r="E80" s="262"/>
      <c r="F80" s="262"/>
      <c r="G80" s="262"/>
      <c r="H80" s="262"/>
      <c r="I80" s="262"/>
      <c r="J80" s="262"/>
      <c r="K80" s="262"/>
      <c r="L80" s="262"/>
      <c r="M80" s="262"/>
      <c r="N80" s="263"/>
    </row>
    <row r="81">
      <c r="A81" s="28"/>
      <c r="B81" s="265" t="s">
        <v>316</v>
      </c>
      <c r="C81" s="266" t="s">
        <v>317</v>
      </c>
      <c r="D81" s="266" t="s">
        <v>318</v>
      </c>
      <c r="E81" s="267" t="s">
        <v>319</v>
      </c>
      <c r="F81" s="268" t="s">
        <v>320</v>
      </c>
      <c r="G81" s="269" t="s">
        <v>321</v>
      </c>
      <c r="H81" s="164"/>
      <c r="I81" s="270" t="s">
        <v>316</v>
      </c>
      <c r="J81" s="271" t="s">
        <v>317</v>
      </c>
      <c r="K81" s="271" t="s">
        <v>318</v>
      </c>
      <c r="L81" s="272" t="s">
        <v>319</v>
      </c>
      <c r="M81" s="273" t="s">
        <v>322</v>
      </c>
      <c r="N81" s="274" t="s">
        <v>323</v>
      </c>
    </row>
    <row r="82">
      <c r="A82" s="28"/>
      <c r="B82" s="275" t="s">
        <v>94</v>
      </c>
      <c r="C82" s="276" t="s">
        <v>324</v>
      </c>
      <c r="D82" s="277" t="s">
        <v>325</v>
      </c>
      <c r="E82" s="278">
        <v>3.0</v>
      </c>
      <c r="F82" s="279" t="str">
        <f t="shared" ref="F82:F90" si="2">IF(ISBLANK(E82),"— Belum diisi",IF(E82=1,"Sangat Tidak Sesuai",IF(E82=2,"Tidak Sesuai",IF(E82=3,"Cukup Sesuai",IF(E82=4,"Sesuai",IF(E82=5,"Sangat Sesuai","—"))))))</f>
        <v>Cukup Sesuai</v>
      </c>
      <c r="G82" s="280" t="s">
        <v>915</v>
      </c>
      <c r="H82" s="164"/>
      <c r="I82" s="281" t="s">
        <v>94</v>
      </c>
      <c r="J82" s="282" t="s">
        <v>324</v>
      </c>
      <c r="K82" s="283" t="s">
        <v>325</v>
      </c>
      <c r="L82" s="278">
        <v>3.0</v>
      </c>
      <c r="M82" s="285" t="str">
        <f t="shared" ref="M82:M90" si="3">IF(ISBLANK(L82),"— Belum diisi",IF(L82=1,"Sangat Tidak Sesuai",IF(L82=2,"Tidak Sesuai",IF(L82=3,"Cukup Sesuai",IF(L82=4,"Sesuai",IF(L82=5,"Sangat Sesuai","—"))))))</f>
        <v>Cukup Sesuai</v>
      </c>
      <c r="N82" s="280" t="s">
        <v>915</v>
      </c>
    </row>
    <row r="83">
      <c r="A83" s="28"/>
      <c r="B83" s="275" t="s">
        <v>95</v>
      </c>
      <c r="C83" s="286" t="s">
        <v>327</v>
      </c>
      <c r="D83" s="287" t="s">
        <v>328</v>
      </c>
      <c r="E83" s="278">
        <v>3.0</v>
      </c>
      <c r="F83" s="288" t="str">
        <f t="shared" si="2"/>
        <v>Cukup Sesuai</v>
      </c>
      <c r="G83" s="278" t="s">
        <v>916</v>
      </c>
      <c r="H83" s="164"/>
      <c r="I83" s="281" t="s">
        <v>95</v>
      </c>
      <c r="J83" s="286" t="s">
        <v>327</v>
      </c>
      <c r="K83" s="287" t="s">
        <v>328</v>
      </c>
      <c r="L83" s="278">
        <v>3.0</v>
      </c>
      <c r="M83" s="288" t="str">
        <f t="shared" si="3"/>
        <v>Cukup Sesuai</v>
      </c>
      <c r="N83" s="278" t="s">
        <v>916</v>
      </c>
    </row>
    <row r="84">
      <c r="A84" s="28"/>
      <c r="B84" s="275" t="s">
        <v>96</v>
      </c>
      <c r="C84" s="276" t="s">
        <v>330</v>
      </c>
      <c r="D84" s="277" t="s">
        <v>331</v>
      </c>
      <c r="E84" s="278">
        <v>3.0</v>
      </c>
      <c r="F84" s="279" t="str">
        <f t="shared" si="2"/>
        <v>Cukup Sesuai</v>
      </c>
      <c r="G84" s="297"/>
      <c r="H84" s="164"/>
      <c r="I84" s="281" t="s">
        <v>96</v>
      </c>
      <c r="J84" s="282" t="s">
        <v>330</v>
      </c>
      <c r="K84" s="289" t="s">
        <v>331</v>
      </c>
      <c r="L84" s="278">
        <v>3.0</v>
      </c>
      <c r="M84" s="290" t="str">
        <f t="shared" si="3"/>
        <v>Cukup Sesuai</v>
      </c>
      <c r="N84" s="297"/>
    </row>
    <row r="85">
      <c r="A85" s="28"/>
      <c r="B85" s="275" t="s">
        <v>97</v>
      </c>
      <c r="C85" s="286" t="s">
        <v>334</v>
      </c>
      <c r="D85" s="287" t="s">
        <v>335</v>
      </c>
      <c r="E85" s="278">
        <v>4.0</v>
      </c>
      <c r="F85" s="288" t="str">
        <f t="shared" si="2"/>
        <v>Sesuai</v>
      </c>
      <c r="G85" s="297"/>
      <c r="H85" s="164"/>
      <c r="I85" s="281" t="s">
        <v>97</v>
      </c>
      <c r="J85" s="286" t="s">
        <v>334</v>
      </c>
      <c r="K85" s="287" t="s">
        <v>335</v>
      </c>
      <c r="L85" s="278">
        <v>3.0</v>
      </c>
      <c r="M85" s="288" t="str">
        <f t="shared" si="3"/>
        <v>Cukup Sesuai</v>
      </c>
      <c r="N85" s="280" t="s">
        <v>917</v>
      </c>
    </row>
    <row r="86">
      <c r="A86" s="28"/>
      <c r="B86" s="275" t="s">
        <v>98</v>
      </c>
      <c r="C86" s="276" t="s">
        <v>336</v>
      </c>
      <c r="D86" s="277" t="s">
        <v>337</v>
      </c>
      <c r="E86" s="278">
        <v>3.0</v>
      </c>
      <c r="F86" s="279" t="str">
        <f t="shared" si="2"/>
        <v>Cukup Sesuai</v>
      </c>
      <c r="G86" s="280" t="s">
        <v>918</v>
      </c>
      <c r="H86" s="164"/>
      <c r="I86" s="281" t="s">
        <v>98</v>
      </c>
      <c r="J86" s="282" t="s">
        <v>336</v>
      </c>
      <c r="K86" s="289" t="s">
        <v>337</v>
      </c>
      <c r="L86" s="278">
        <v>3.0</v>
      </c>
      <c r="M86" s="290" t="str">
        <f t="shared" si="3"/>
        <v>Cukup Sesuai</v>
      </c>
      <c r="N86" s="280" t="s">
        <v>919</v>
      </c>
    </row>
    <row r="87">
      <c r="A87" s="28"/>
      <c r="B87" s="291" t="s">
        <v>99</v>
      </c>
      <c r="C87" s="286" t="s">
        <v>339</v>
      </c>
      <c r="D87" s="287" t="s">
        <v>340</v>
      </c>
      <c r="E87" s="278">
        <v>3.0</v>
      </c>
      <c r="F87" s="288" t="str">
        <f t="shared" si="2"/>
        <v>Cukup Sesuai</v>
      </c>
      <c r="G87" s="280" t="s">
        <v>920</v>
      </c>
      <c r="H87" s="164"/>
      <c r="I87" s="292" t="s">
        <v>99</v>
      </c>
      <c r="J87" s="286" t="s">
        <v>339</v>
      </c>
      <c r="K87" s="287" t="s">
        <v>340</v>
      </c>
      <c r="L87" s="278">
        <v>3.0</v>
      </c>
      <c r="M87" s="288" t="str">
        <f t="shared" si="3"/>
        <v>Cukup Sesuai</v>
      </c>
      <c r="N87" s="280" t="s">
        <v>921</v>
      </c>
    </row>
    <row r="88">
      <c r="A88" s="28"/>
      <c r="B88" s="293" t="s">
        <v>100</v>
      </c>
      <c r="C88" s="276" t="s">
        <v>343</v>
      </c>
      <c r="D88" s="277" t="s">
        <v>344</v>
      </c>
      <c r="E88" s="278">
        <v>3.0</v>
      </c>
      <c r="F88" s="279" t="str">
        <f t="shared" si="2"/>
        <v>Cukup Sesuai</v>
      </c>
      <c r="G88" s="280" t="s">
        <v>345</v>
      </c>
      <c r="H88" s="164"/>
      <c r="I88" s="294" t="s">
        <v>100</v>
      </c>
      <c r="J88" s="282" t="s">
        <v>343</v>
      </c>
      <c r="K88" s="289" t="s">
        <v>344</v>
      </c>
      <c r="L88" s="278">
        <v>3.0</v>
      </c>
      <c r="M88" s="290" t="str">
        <f t="shared" si="3"/>
        <v>Cukup Sesuai</v>
      </c>
      <c r="N88" s="280" t="s">
        <v>345</v>
      </c>
    </row>
    <row r="89">
      <c r="A89" s="28"/>
      <c r="B89" s="295" t="s">
        <v>101</v>
      </c>
      <c r="C89" s="286" t="s">
        <v>346</v>
      </c>
      <c r="D89" s="287" t="s">
        <v>347</v>
      </c>
      <c r="E89" s="278">
        <v>3.0</v>
      </c>
      <c r="F89" s="288" t="str">
        <f t="shared" si="2"/>
        <v>Cukup Sesuai</v>
      </c>
      <c r="G89" s="280" t="s">
        <v>922</v>
      </c>
      <c r="H89" s="164"/>
      <c r="I89" s="296" t="s">
        <v>101</v>
      </c>
      <c r="J89" s="286" t="s">
        <v>346</v>
      </c>
      <c r="K89" s="287" t="s">
        <v>347</v>
      </c>
      <c r="L89" s="278">
        <v>4.0</v>
      </c>
      <c r="M89" s="288" t="str">
        <f t="shared" si="3"/>
        <v>Sesuai</v>
      </c>
      <c r="N89" s="297"/>
    </row>
    <row r="90">
      <c r="A90" s="28"/>
      <c r="B90" s="298" t="s">
        <v>102</v>
      </c>
      <c r="C90" s="276" t="s">
        <v>349</v>
      </c>
      <c r="D90" s="277" t="s">
        <v>350</v>
      </c>
      <c r="E90" s="278">
        <v>4.0</v>
      </c>
      <c r="F90" s="279" t="str">
        <f t="shared" si="2"/>
        <v>Sesuai</v>
      </c>
      <c r="G90" s="297"/>
      <c r="H90" s="164"/>
      <c r="I90" s="299" t="s">
        <v>102</v>
      </c>
      <c r="J90" s="282" t="s">
        <v>349</v>
      </c>
      <c r="K90" s="289" t="s">
        <v>350</v>
      </c>
      <c r="L90" s="278">
        <v>4.0</v>
      </c>
      <c r="M90" s="290" t="str">
        <f t="shared" si="3"/>
        <v>Sesuai</v>
      </c>
      <c r="N90" s="297"/>
    </row>
    <row r="91">
      <c r="A91" s="28"/>
      <c r="B91" s="300" t="s">
        <v>351</v>
      </c>
      <c r="C91" s="301"/>
      <c r="D91" s="27"/>
      <c r="E91" s="302">
        <f>IFERROR(AVERAGE(E82,E83,E84,E85,E86,E87,E88,E89,E90),"—")</f>
        <v>3.222222222</v>
      </c>
      <c r="F91" s="303" t="str">
        <f>IF(ISNUMBER(E91),IF(E91&lt;2,"Sangat Tidak Sesuai",IF(E91&lt;3,"Tidak Sesuai",IF(E91&lt;4,"Cukup Sesuai",IF(E91&lt;4.6,"Sesuai","Sangat Sesuai")))),"—")</f>
        <v>Cukup Sesuai</v>
      </c>
      <c r="G91" s="3"/>
      <c r="H91" s="164"/>
      <c r="I91" s="304" t="s">
        <v>351</v>
      </c>
      <c r="J91" s="301"/>
      <c r="K91" s="27"/>
      <c r="L91" s="294">
        <f>IFERROR(AVERAGE(L82,L83,L84,L85,L86,L87,L88,L89,L90),"—")</f>
        <v>3.222222222</v>
      </c>
      <c r="M91" s="305" t="str">
        <f>IF(ISNUMBER(L91),IF(L91&lt;2,"Sangat Tidak Sesuai",IF(L91&lt;3,"Tidak Sesuai",IF(L91&lt;4,"Cukup Sesuai",IF(L91&lt;4.6,"Sesuai","Sangat Sesuai")))),"—")</f>
        <v>Cukup Sesuai</v>
      </c>
      <c r="N91" s="3"/>
    </row>
    <row r="92">
      <c r="A92" s="28"/>
      <c r="B92" s="306"/>
    </row>
    <row r="93" ht="28.5" customHeight="1">
      <c r="A93" s="142"/>
      <c r="B93" s="307" t="s">
        <v>352</v>
      </c>
      <c r="C93" s="170"/>
      <c r="D93" s="170"/>
      <c r="E93" s="170"/>
      <c r="F93" s="170"/>
      <c r="G93" s="170"/>
      <c r="H93" s="170"/>
      <c r="I93" s="170"/>
      <c r="J93" s="170"/>
      <c r="K93" s="170"/>
      <c r="L93" s="170"/>
      <c r="M93" s="170"/>
      <c r="N93" s="308"/>
      <c r="O93" s="146"/>
      <c r="P93" s="146"/>
      <c r="Q93" s="146"/>
      <c r="R93" s="146"/>
      <c r="S93" s="146"/>
      <c r="T93" s="146"/>
      <c r="U93" s="146"/>
      <c r="V93" s="146"/>
      <c r="W93" s="146"/>
      <c r="X93" s="146"/>
      <c r="Y93" s="146"/>
      <c r="Z93" s="146"/>
    </row>
    <row r="94" ht="23.25" customHeight="1">
      <c r="A94" s="147"/>
      <c r="B94" s="309" t="s">
        <v>353</v>
      </c>
      <c r="C94" s="310"/>
      <c r="D94" s="310"/>
      <c r="E94" s="310"/>
      <c r="F94" s="310"/>
      <c r="G94" s="311"/>
      <c r="H94" s="312"/>
      <c r="I94" s="313" t="s">
        <v>354</v>
      </c>
      <c r="J94" s="30"/>
      <c r="K94" s="30"/>
      <c r="L94" s="30"/>
      <c r="M94" s="30"/>
      <c r="N94" s="3"/>
      <c r="O94" s="153"/>
      <c r="P94" s="153"/>
      <c r="Q94" s="153"/>
      <c r="R94" s="153"/>
      <c r="S94" s="153"/>
      <c r="T94" s="153"/>
      <c r="U94" s="153"/>
      <c r="V94" s="153"/>
      <c r="W94" s="153"/>
      <c r="X94" s="153"/>
      <c r="Y94" s="153"/>
      <c r="Z94" s="153"/>
    </row>
    <row r="95">
      <c r="A95" s="28"/>
      <c r="B95" s="314" t="s">
        <v>355</v>
      </c>
      <c r="C95" s="315"/>
      <c r="D95" s="315"/>
      <c r="E95" s="315"/>
      <c r="F95" s="315"/>
      <c r="G95" s="316"/>
      <c r="H95" s="260"/>
      <c r="I95" s="317" t="s">
        <v>355</v>
      </c>
      <c r="J95" s="30"/>
      <c r="K95" s="30"/>
      <c r="L95" s="30"/>
      <c r="M95" s="30"/>
      <c r="N95" s="3"/>
    </row>
    <row r="96">
      <c r="A96" s="28"/>
      <c r="B96" s="318" t="s">
        <v>356</v>
      </c>
      <c r="H96" s="260"/>
      <c r="I96" s="319" t="s">
        <v>356</v>
      </c>
      <c r="J96" s="30"/>
      <c r="K96" s="30"/>
      <c r="L96" s="30"/>
      <c r="M96" s="30"/>
      <c r="N96" s="3"/>
    </row>
    <row r="97">
      <c r="A97" s="28"/>
      <c r="B97" s="320" t="s">
        <v>923</v>
      </c>
      <c r="G97" s="321"/>
      <c r="H97" s="322"/>
      <c r="I97" s="323" t="s">
        <v>923</v>
      </c>
      <c r="J97" s="324"/>
      <c r="K97" s="324"/>
      <c r="L97" s="324"/>
      <c r="M97" s="324"/>
      <c r="N97" s="325"/>
    </row>
    <row r="98">
      <c r="A98" s="28"/>
      <c r="B98" s="326"/>
      <c r="G98" s="321"/>
      <c r="H98" s="322"/>
      <c r="I98" s="327"/>
      <c r="N98" s="328"/>
    </row>
    <row r="99">
      <c r="A99" s="28"/>
      <c r="B99" s="326"/>
      <c r="G99" s="321"/>
      <c r="H99" s="322"/>
      <c r="I99" s="327"/>
      <c r="N99" s="328"/>
    </row>
    <row r="100">
      <c r="A100" s="28"/>
      <c r="B100" s="329"/>
      <c r="C100" s="330"/>
      <c r="D100" s="330"/>
      <c r="E100" s="330"/>
      <c r="F100" s="330"/>
      <c r="G100" s="331"/>
      <c r="H100" s="322"/>
      <c r="I100" s="332"/>
      <c r="J100" s="333"/>
      <c r="K100" s="333"/>
      <c r="L100" s="333"/>
      <c r="M100" s="333"/>
      <c r="N100" s="334"/>
    </row>
    <row r="101">
      <c r="A101" s="28"/>
      <c r="B101" s="28"/>
      <c r="C101" s="28"/>
      <c r="D101" s="28"/>
      <c r="E101" s="28"/>
      <c r="F101" s="28"/>
      <c r="G101" s="28"/>
    </row>
    <row r="102">
      <c r="A102" s="28"/>
      <c r="B102" s="335" t="s">
        <v>358</v>
      </c>
      <c r="C102" s="144"/>
      <c r="D102" s="144"/>
      <c r="E102" s="144"/>
      <c r="F102" s="144"/>
      <c r="G102" s="145"/>
      <c r="H102" s="164"/>
      <c r="I102" s="336" t="s">
        <v>358</v>
      </c>
      <c r="J102" s="30"/>
      <c r="K102" s="30"/>
      <c r="L102" s="30"/>
      <c r="M102" s="30"/>
      <c r="N102" s="3"/>
    </row>
    <row r="103">
      <c r="A103" s="28"/>
      <c r="B103" s="337" t="s">
        <v>359</v>
      </c>
      <c r="H103" s="260"/>
      <c r="I103" s="338" t="s">
        <v>359</v>
      </c>
      <c r="J103" s="30"/>
      <c r="K103" s="30"/>
      <c r="L103" s="30"/>
      <c r="M103" s="30"/>
      <c r="N103" s="3"/>
    </row>
    <row r="104">
      <c r="A104" s="28"/>
      <c r="B104" s="339" t="s">
        <v>613</v>
      </c>
      <c r="G104" s="328"/>
      <c r="H104" s="340"/>
      <c r="I104" s="341" t="s">
        <v>613</v>
      </c>
      <c r="J104" s="324"/>
      <c r="K104" s="324"/>
      <c r="L104" s="324"/>
      <c r="M104" s="324"/>
      <c r="N104" s="325"/>
    </row>
    <row r="105">
      <c r="A105" s="28"/>
      <c r="B105" s="342"/>
      <c r="G105" s="328"/>
      <c r="H105" s="340"/>
      <c r="I105" s="327"/>
      <c r="N105" s="328"/>
    </row>
    <row r="106">
      <c r="A106" s="28"/>
      <c r="B106" s="342"/>
      <c r="G106" s="328"/>
      <c r="H106" s="340"/>
      <c r="I106" s="327"/>
      <c r="N106" s="328"/>
    </row>
    <row r="107">
      <c r="A107" s="28"/>
      <c r="B107" s="343"/>
      <c r="C107" s="163"/>
      <c r="D107" s="163"/>
      <c r="E107" s="163"/>
      <c r="F107" s="163"/>
      <c r="G107" s="344"/>
      <c r="H107" s="340"/>
      <c r="I107" s="332"/>
      <c r="J107" s="333"/>
      <c r="K107" s="333"/>
      <c r="L107" s="333"/>
      <c r="M107" s="333"/>
      <c r="N107" s="334"/>
    </row>
    <row r="108">
      <c r="A108" s="28"/>
    </row>
    <row r="109">
      <c r="A109" s="28"/>
      <c r="B109" s="345" t="s">
        <v>361</v>
      </c>
      <c r="C109" s="30"/>
      <c r="D109" s="30"/>
      <c r="E109" s="30"/>
      <c r="F109" s="30"/>
      <c r="G109" s="3"/>
      <c r="H109" s="164"/>
      <c r="I109" s="346" t="s">
        <v>361</v>
      </c>
      <c r="J109" s="30"/>
      <c r="K109" s="30"/>
      <c r="L109" s="30"/>
      <c r="M109" s="30"/>
      <c r="N109" s="3"/>
    </row>
    <row r="110">
      <c r="A110" s="28"/>
      <c r="B110" s="347" t="s">
        <v>362</v>
      </c>
      <c r="C110" s="30"/>
      <c r="D110" s="30"/>
      <c r="E110" s="30"/>
      <c r="F110" s="30"/>
      <c r="G110" s="3"/>
      <c r="H110" s="164"/>
      <c r="I110" s="348" t="s">
        <v>362</v>
      </c>
      <c r="J110" s="30"/>
      <c r="K110" s="30"/>
      <c r="L110" s="30"/>
      <c r="M110" s="30"/>
      <c r="N110" s="3"/>
    </row>
    <row r="111">
      <c r="A111" s="28"/>
      <c r="B111" s="349" t="s">
        <v>363</v>
      </c>
      <c r="C111" s="324"/>
      <c r="D111" s="324"/>
      <c r="E111" s="324"/>
      <c r="F111" s="324"/>
      <c r="G111" s="325"/>
      <c r="H111" s="340"/>
      <c r="I111" s="350" t="s">
        <v>363</v>
      </c>
      <c r="J111" s="324"/>
      <c r="K111" s="324"/>
      <c r="L111" s="324"/>
      <c r="M111" s="324"/>
      <c r="N111" s="325"/>
    </row>
    <row r="112">
      <c r="A112" s="28"/>
      <c r="B112" s="327"/>
      <c r="G112" s="328"/>
      <c r="H112" s="340"/>
      <c r="I112" s="327"/>
      <c r="N112" s="328"/>
    </row>
    <row r="113">
      <c r="A113" s="28"/>
      <c r="B113" s="327"/>
      <c r="G113" s="328"/>
      <c r="H113" s="340"/>
      <c r="I113" s="327"/>
      <c r="N113" s="328"/>
    </row>
    <row r="114">
      <c r="A114" s="28"/>
      <c r="B114" s="332"/>
      <c r="C114" s="333"/>
      <c r="D114" s="333"/>
      <c r="E114" s="333"/>
      <c r="F114" s="333"/>
      <c r="G114" s="334"/>
      <c r="H114" s="340"/>
      <c r="I114" s="332"/>
      <c r="J114" s="333"/>
      <c r="K114" s="333"/>
      <c r="L114" s="333"/>
      <c r="M114" s="333"/>
      <c r="N114" s="334"/>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sheetData>
  <mergeCells count="135">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4:G64"/>
    <mergeCell ref="F72:G72"/>
    <mergeCell ref="F73:G73"/>
    <mergeCell ref="F74:G74"/>
    <mergeCell ref="F75:G75"/>
    <mergeCell ref="F76:G76"/>
    <mergeCell ref="F77:G77"/>
    <mergeCell ref="F65:G65"/>
    <mergeCell ref="F66:G66"/>
    <mergeCell ref="F67:G67"/>
    <mergeCell ref="F68:G68"/>
    <mergeCell ref="F69:G69"/>
    <mergeCell ref="F70:G70"/>
    <mergeCell ref="F71:G71"/>
    <mergeCell ref="I15:N15"/>
    <mergeCell ref="M16:N16"/>
    <mergeCell ref="B2:N2"/>
    <mergeCell ref="B3:N3"/>
    <mergeCell ref="B5:C5"/>
    <mergeCell ref="D5:E5"/>
    <mergeCell ref="B14:N14"/>
    <mergeCell ref="B15:G15"/>
    <mergeCell ref="F16:G16"/>
    <mergeCell ref="F21:G21"/>
    <mergeCell ref="F22:G22"/>
    <mergeCell ref="F23:G23"/>
    <mergeCell ref="F25:G25"/>
    <mergeCell ref="F26:G26"/>
    <mergeCell ref="F27:G27"/>
    <mergeCell ref="F29:G29"/>
    <mergeCell ref="F33:G33"/>
    <mergeCell ref="F17:G17"/>
    <mergeCell ref="M17:N17"/>
    <mergeCell ref="F18:G18"/>
    <mergeCell ref="M18:N18"/>
    <mergeCell ref="F19:G19"/>
    <mergeCell ref="M19:N19"/>
    <mergeCell ref="M21:N21"/>
    <mergeCell ref="M22:N22"/>
    <mergeCell ref="M23:N23"/>
    <mergeCell ref="M25:N25"/>
    <mergeCell ref="M26:N26"/>
    <mergeCell ref="M27:N27"/>
    <mergeCell ref="M29:N29"/>
    <mergeCell ref="B31:N31"/>
    <mergeCell ref="B32:G32"/>
    <mergeCell ref="I32:N32"/>
    <mergeCell ref="M33:N33"/>
    <mergeCell ref="B39:N39"/>
    <mergeCell ref="B40:G40"/>
    <mergeCell ref="I40:N40"/>
    <mergeCell ref="M41:N41"/>
    <mergeCell ref="M42:N42"/>
    <mergeCell ref="M43:N43"/>
    <mergeCell ref="M44:N44"/>
    <mergeCell ref="M45:N45"/>
    <mergeCell ref="M46:N46"/>
    <mergeCell ref="M47:N47"/>
    <mergeCell ref="M48:N48"/>
    <mergeCell ref="B109:G109"/>
    <mergeCell ref="B110:G110"/>
    <mergeCell ref="B111:G114"/>
    <mergeCell ref="I111:N114"/>
    <mergeCell ref="B102:G102"/>
    <mergeCell ref="I102:N102"/>
    <mergeCell ref="B103:G103"/>
    <mergeCell ref="I103:N103"/>
    <mergeCell ref="B104:G107"/>
    <mergeCell ref="I104:N107"/>
    <mergeCell ref="I109:N109"/>
    <mergeCell ref="I110:N110"/>
    <mergeCell ref="M49:N49"/>
    <mergeCell ref="M50:N50"/>
    <mergeCell ref="M51:N51"/>
    <mergeCell ref="M52:N52"/>
    <mergeCell ref="M53:N53"/>
    <mergeCell ref="M54:N54"/>
    <mergeCell ref="M55:N55"/>
    <mergeCell ref="M56:N56"/>
    <mergeCell ref="M57:N57"/>
    <mergeCell ref="M58:N58"/>
    <mergeCell ref="M59:N59"/>
    <mergeCell ref="M60:N60"/>
    <mergeCell ref="B62:N62"/>
    <mergeCell ref="B63:G63"/>
    <mergeCell ref="I63:N63"/>
    <mergeCell ref="M64:N64"/>
    <mergeCell ref="M65:N65"/>
    <mergeCell ref="M66:N66"/>
    <mergeCell ref="M67:N67"/>
    <mergeCell ref="M68:N68"/>
    <mergeCell ref="M69:N69"/>
    <mergeCell ref="M70:N70"/>
    <mergeCell ref="M71:N71"/>
    <mergeCell ref="M72:N72"/>
    <mergeCell ref="M73:N73"/>
    <mergeCell ref="M74:N74"/>
    <mergeCell ref="M75:N75"/>
    <mergeCell ref="M76:N76"/>
    <mergeCell ref="M77:N77"/>
    <mergeCell ref="B79:N79"/>
    <mergeCell ref="B80:N80"/>
    <mergeCell ref="B91:D91"/>
    <mergeCell ref="F91:G91"/>
    <mergeCell ref="I91:K91"/>
    <mergeCell ref="M91:N91"/>
    <mergeCell ref="I96:N96"/>
    <mergeCell ref="I97:N100"/>
    <mergeCell ref="B93:N93"/>
    <mergeCell ref="B94:G94"/>
    <mergeCell ref="I94:N94"/>
    <mergeCell ref="B95:G95"/>
    <mergeCell ref="I95:N95"/>
    <mergeCell ref="B96:G96"/>
    <mergeCell ref="B97:G100"/>
  </mergeCells>
  <conditionalFormatting sqref="E42:E60 L42:L60 E65:E77 L65:L77">
    <cfRule type="cellIs" dxfId="2" priority="1" operator="greaterThan">
      <formula>"100%"</formula>
    </cfRule>
  </conditionalFormatting>
  <conditionalFormatting sqref="E42:E60 L42:L60 E65:E77 L65:L77">
    <cfRule type="cellIs" dxfId="1" priority="2" operator="lessThan">
      <formula>"100%"</formula>
    </cfRule>
  </conditionalFormatting>
  <conditionalFormatting sqref="L42:L60 L65:L77">
    <cfRule type="cellIs" dxfId="0" priority="3" operator="equal">
      <formula>"100%"</formula>
    </cfRule>
  </conditionalFormatting>
  <conditionalFormatting sqref="E42:E60 E65:E77">
    <cfRule type="cellIs" dxfId="3" priority="4" operator="equal">
      <formula>"100%"</formula>
    </cfRule>
  </conditionalFormatting>
  <dataValidations>
    <dataValidation type="list" allowBlank="1" showInputMessage="1" showErrorMessage="1" prompt="Nilai Tidak Valid - Silakan pilih nilai 1–5 dari dropdown." sqref="E82:E90 L82:L90">
      <formula1>"1,2,3,4,5"</formula1>
    </dataValidation>
  </dataValidation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
    <col customWidth="1" min="2" max="2" width="26.0"/>
    <col customWidth="1" min="3" max="3" width="24.0"/>
    <col customWidth="1" min="4" max="5" width="22.0"/>
    <col customWidth="1" min="6" max="6" width="18.0"/>
    <col customWidth="1" min="7" max="7" width="28.0"/>
    <col customWidth="1" min="9" max="9" width="26.57"/>
    <col customWidth="1" min="10" max="10" width="18.29"/>
    <col customWidth="1" min="14" max="14" width="19.57"/>
  </cols>
  <sheetData>
    <row r="1">
      <c r="A1" s="28"/>
      <c r="B1" s="28"/>
      <c r="C1" s="28"/>
      <c r="D1" s="28"/>
      <c r="E1" s="28"/>
      <c r="F1" s="28"/>
      <c r="G1" s="28"/>
    </row>
    <row r="2" ht="27.0" customHeight="1">
      <c r="A2" s="28"/>
      <c r="B2" s="352" t="s">
        <v>924</v>
      </c>
      <c r="C2" s="30"/>
      <c r="D2" s="30"/>
      <c r="E2" s="30"/>
      <c r="F2" s="30"/>
      <c r="G2" s="30"/>
      <c r="H2" s="30"/>
      <c r="I2" s="30"/>
      <c r="J2" s="30"/>
      <c r="K2" s="30"/>
      <c r="L2" s="30"/>
      <c r="M2" s="30"/>
      <c r="N2" s="3"/>
    </row>
    <row r="3">
      <c r="A3" s="28"/>
      <c r="B3" s="133" t="s">
        <v>925</v>
      </c>
      <c r="C3" s="30"/>
      <c r="D3" s="30"/>
      <c r="E3" s="30"/>
      <c r="F3" s="30"/>
      <c r="G3" s="30"/>
      <c r="H3" s="30"/>
      <c r="I3" s="30"/>
      <c r="J3" s="30"/>
      <c r="K3" s="30"/>
      <c r="L3" s="30"/>
      <c r="M3" s="30"/>
      <c r="N3" s="3"/>
    </row>
    <row r="4">
      <c r="A4" s="28"/>
      <c r="B4" s="28"/>
      <c r="C4" s="28"/>
      <c r="D4" s="28"/>
      <c r="E4" s="28"/>
      <c r="F4" s="28"/>
      <c r="G4" s="28"/>
    </row>
    <row r="5" ht="34.5" customHeight="1">
      <c r="A5" s="142"/>
      <c r="B5" s="134" t="s">
        <v>146</v>
      </c>
      <c r="C5" s="27"/>
      <c r="D5" s="134" t="s">
        <v>147</v>
      </c>
      <c r="E5" s="27"/>
      <c r="F5" s="142"/>
      <c r="G5" s="142"/>
      <c r="H5" s="146"/>
      <c r="I5" s="146"/>
      <c r="J5" s="146"/>
      <c r="K5" s="146"/>
      <c r="L5" s="146"/>
      <c r="M5" s="146"/>
      <c r="N5" s="146"/>
      <c r="O5" s="146"/>
      <c r="P5" s="146"/>
      <c r="Q5" s="146"/>
      <c r="R5" s="146"/>
      <c r="S5" s="146"/>
      <c r="T5" s="146"/>
      <c r="U5" s="146"/>
      <c r="V5" s="146"/>
      <c r="W5" s="146"/>
      <c r="X5" s="146"/>
      <c r="Y5" s="146"/>
      <c r="Z5" s="146"/>
    </row>
    <row r="6">
      <c r="A6" s="28"/>
      <c r="B6" s="135" t="s">
        <v>148</v>
      </c>
      <c r="C6" s="463">
        <v>34.0</v>
      </c>
      <c r="D6" s="135" t="s">
        <v>149</v>
      </c>
      <c r="E6" s="138" t="s">
        <v>872</v>
      </c>
      <c r="F6" s="28"/>
      <c r="G6" s="28"/>
    </row>
    <row r="7">
      <c r="A7" s="28"/>
      <c r="B7" s="139" t="s">
        <v>150</v>
      </c>
      <c r="C7" s="463" t="s">
        <v>151</v>
      </c>
      <c r="D7" s="139" t="s">
        <v>152</v>
      </c>
      <c r="E7" s="138" t="s">
        <v>926</v>
      </c>
      <c r="F7" s="28"/>
      <c r="G7" s="28"/>
    </row>
    <row r="8">
      <c r="A8" s="28"/>
      <c r="B8" s="135" t="s">
        <v>154</v>
      </c>
      <c r="C8" s="463">
        <v>51.0</v>
      </c>
      <c r="D8" s="135" t="s">
        <v>155</v>
      </c>
      <c r="E8" s="138" t="s">
        <v>927</v>
      </c>
      <c r="F8" s="28"/>
      <c r="G8" s="28"/>
    </row>
    <row r="9">
      <c r="A9" s="28"/>
      <c r="B9" s="139" t="s">
        <v>157</v>
      </c>
      <c r="C9" s="463">
        <v>178.0</v>
      </c>
      <c r="D9" s="139" t="s">
        <v>158</v>
      </c>
      <c r="E9" s="138" t="s">
        <v>928</v>
      </c>
      <c r="F9" s="28"/>
      <c r="G9" s="28"/>
    </row>
    <row r="10">
      <c r="A10" s="28"/>
      <c r="B10" s="135" t="s">
        <v>160</v>
      </c>
      <c r="C10" s="463" t="s">
        <v>876</v>
      </c>
      <c r="D10" s="135" t="s">
        <v>162</v>
      </c>
      <c r="E10" s="138" t="s">
        <v>929</v>
      </c>
      <c r="F10" s="28"/>
      <c r="G10" s="28"/>
    </row>
    <row r="11">
      <c r="A11" s="28"/>
      <c r="B11" s="139" t="s">
        <v>93</v>
      </c>
      <c r="C11" s="463" t="s">
        <v>930</v>
      </c>
      <c r="D11" s="139" t="s">
        <v>165</v>
      </c>
      <c r="E11" s="138" t="s">
        <v>931</v>
      </c>
      <c r="F11" s="28"/>
      <c r="G11" s="28"/>
    </row>
    <row r="12">
      <c r="A12" s="28"/>
      <c r="B12" s="141"/>
      <c r="C12" s="141"/>
      <c r="D12" s="135" t="s">
        <v>167</v>
      </c>
      <c r="E12" s="138" t="s">
        <v>168</v>
      </c>
      <c r="F12" s="28"/>
      <c r="G12" s="28"/>
    </row>
    <row r="13">
      <c r="A13" s="28"/>
      <c r="B13" s="28"/>
      <c r="C13" s="28"/>
      <c r="D13" s="28"/>
      <c r="E13" s="28"/>
      <c r="F13" s="28"/>
      <c r="G13" s="28"/>
    </row>
    <row r="14" ht="34.5" customHeight="1">
      <c r="A14" s="142"/>
      <c r="B14" s="143" t="s">
        <v>169</v>
      </c>
      <c r="C14" s="144"/>
      <c r="D14" s="144"/>
      <c r="E14" s="144"/>
      <c r="F14" s="144"/>
      <c r="G14" s="144"/>
      <c r="H14" s="144"/>
      <c r="I14" s="144"/>
      <c r="J14" s="144"/>
      <c r="K14" s="144"/>
      <c r="L14" s="144"/>
      <c r="M14" s="144"/>
      <c r="N14" s="145"/>
      <c r="O14" s="146"/>
      <c r="P14" s="146"/>
      <c r="Q14" s="146"/>
      <c r="R14" s="146"/>
      <c r="S14" s="146"/>
      <c r="T14" s="146"/>
      <c r="U14" s="146"/>
      <c r="V14" s="146"/>
      <c r="W14" s="146"/>
      <c r="X14" s="146"/>
      <c r="Y14" s="146"/>
      <c r="Z14" s="146"/>
    </row>
    <row r="15" ht="24.75" customHeight="1">
      <c r="A15" s="147"/>
      <c r="B15" s="148" t="s">
        <v>170</v>
      </c>
      <c r="C15" s="149"/>
      <c r="D15" s="149"/>
      <c r="E15" s="149"/>
      <c r="F15" s="149"/>
      <c r="G15" s="150"/>
      <c r="H15" s="151"/>
      <c r="I15" s="152" t="s">
        <v>171</v>
      </c>
      <c r="J15" s="149"/>
      <c r="K15" s="149"/>
      <c r="L15" s="149"/>
      <c r="M15" s="149"/>
      <c r="N15" s="150"/>
      <c r="O15" s="153"/>
      <c r="P15" s="153"/>
      <c r="Q15" s="153"/>
      <c r="R15" s="153"/>
      <c r="S15" s="153"/>
      <c r="T15" s="153"/>
      <c r="U15" s="153"/>
      <c r="V15" s="153"/>
      <c r="W15" s="153"/>
      <c r="X15" s="153"/>
      <c r="Y15" s="153"/>
      <c r="Z15" s="153"/>
    </row>
    <row r="16">
      <c r="A16" s="28"/>
      <c r="B16" s="154" t="s">
        <v>172</v>
      </c>
      <c r="C16" s="154" t="s">
        <v>173</v>
      </c>
      <c r="D16" s="154" t="s">
        <v>174</v>
      </c>
      <c r="E16" s="154" t="s">
        <v>175</v>
      </c>
      <c r="F16" s="155" t="s">
        <v>371</v>
      </c>
      <c r="G16" s="150"/>
      <c r="H16" s="156"/>
      <c r="I16" s="157" t="s">
        <v>172</v>
      </c>
      <c r="J16" s="157" t="s">
        <v>173</v>
      </c>
      <c r="K16" s="157" t="s">
        <v>174</v>
      </c>
      <c r="L16" s="157" t="s">
        <v>175</v>
      </c>
      <c r="M16" s="158" t="s">
        <v>371</v>
      </c>
      <c r="N16" s="150"/>
    </row>
    <row r="17">
      <c r="A17" s="28"/>
      <c r="B17" s="159" t="s">
        <v>176</v>
      </c>
      <c r="C17" s="160" t="s">
        <v>577</v>
      </c>
      <c r="D17" s="160">
        <v>101.0</v>
      </c>
      <c r="E17" s="161">
        <v>302.0</v>
      </c>
      <c r="F17" s="354"/>
      <c r="G17" s="163"/>
      <c r="H17" s="164"/>
      <c r="I17" s="159" t="s">
        <v>176</v>
      </c>
      <c r="J17" s="160" t="s">
        <v>932</v>
      </c>
      <c r="K17" s="160" t="s">
        <v>227</v>
      </c>
      <c r="L17" s="161" t="s">
        <v>933</v>
      </c>
      <c r="M17" s="162" t="s">
        <v>934</v>
      </c>
      <c r="N17" s="163"/>
    </row>
    <row r="18">
      <c r="A18" s="28"/>
      <c r="B18" s="166" t="s">
        <v>183</v>
      </c>
      <c r="C18" s="167" t="s">
        <v>935</v>
      </c>
      <c r="D18" s="167">
        <v>100.0</v>
      </c>
      <c r="E18" s="168">
        <v>103.0</v>
      </c>
      <c r="F18" s="169" t="s">
        <v>936</v>
      </c>
      <c r="G18" s="170"/>
      <c r="H18" s="164"/>
      <c r="I18" s="166" t="s">
        <v>183</v>
      </c>
      <c r="J18" s="167" t="s">
        <v>378</v>
      </c>
      <c r="K18" s="167" t="s">
        <v>832</v>
      </c>
      <c r="L18" s="168" t="s">
        <v>937</v>
      </c>
      <c r="M18" s="172"/>
      <c r="N18" s="170"/>
    </row>
    <row r="19">
      <c r="A19" s="28"/>
      <c r="B19" s="173" t="s">
        <v>190</v>
      </c>
      <c r="C19" s="167" t="s">
        <v>938</v>
      </c>
      <c r="D19" s="167">
        <v>100.0</v>
      </c>
      <c r="E19" s="168">
        <v>21.0</v>
      </c>
      <c r="F19" s="172"/>
      <c r="G19" s="170"/>
      <c r="H19" s="164"/>
      <c r="I19" s="173" t="s">
        <v>190</v>
      </c>
      <c r="J19" s="167" t="s">
        <v>630</v>
      </c>
      <c r="K19" s="167" t="s">
        <v>384</v>
      </c>
      <c r="L19" s="168">
        <v>60.0</v>
      </c>
      <c r="M19" s="172"/>
      <c r="N19" s="170"/>
    </row>
    <row r="20">
      <c r="A20" s="28"/>
      <c r="B20" s="174"/>
      <c r="C20" s="175"/>
      <c r="D20" s="175"/>
      <c r="E20" s="175"/>
      <c r="F20" s="176"/>
      <c r="G20" s="176"/>
      <c r="H20" s="164"/>
      <c r="I20" s="174"/>
      <c r="J20" s="175"/>
      <c r="K20" s="175"/>
      <c r="L20" s="175"/>
      <c r="M20" s="176"/>
      <c r="N20" s="176"/>
    </row>
    <row r="21">
      <c r="A21" s="28"/>
      <c r="B21" s="177" t="s">
        <v>196</v>
      </c>
      <c r="C21" s="167" t="s">
        <v>939</v>
      </c>
      <c r="D21" s="167">
        <v>101.0</v>
      </c>
      <c r="E21" s="168">
        <v>397.9</v>
      </c>
      <c r="F21" s="172"/>
      <c r="G21" s="170"/>
      <c r="H21" s="164"/>
      <c r="I21" s="177" t="s">
        <v>196</v>
      </c>
      <c r="J21" s="167" t="s">
        <v>940</v>
      </c>
      <c r="K21" s="167" t="s">
        <v>941</v>
      </c>
      <c r="L21" s="168" t="s">
        <v>942</v>
      </c>
      <c r="M21" s="169" t="s">
        <v>893</v>
      </c>
      <c r="N21" s="170"/>
    </row>
    <row r="22">
      <c r="A22" s="28"/>
      <c r="B22" s="178" t="s">
        <v>203</v>
      </c>
      <c r="C22" s="167" t="s">
        <v>645</v>
      </c>
      <c r="D22" s="167">
        <v>100.0</v>
      </c>
      <c r="E22" s="168">
        <v>242.0</v>
      </c>
      <c r="F22" s="172"/>
      <c r="G22" s="170"/>
      <c r="H22" s="164"/>
      <c r="I22" s="178" t="s">
        <v>203</v>
      </c>
      <c r="J22" s="167" t="s">
        <v>184</v>
      </c>
      <c r="K22" s="167" t="s">
        <v>943</v>
      </c>
      <c r="L22" s="168" t="s">
        <v>944</v>
      </c>
      <c r="M22" s="172"/>
      <c r="N22" s="170"/>
    </row>
    <row r="23">
      <c r="A23" s="28"/>
      <c r="B23" s="177" t="s">
        <v>211</v>
      </c>
      <c r="C23" s="167" t="s">
        <v>382</v>
      </c>
      <c r="D23" s="167">
        <v>100.0</v>
      </c>
      <c r="E23" s="168">
        <v>58.0</v>
      </c>
      <c r="F23" s="169" t="s">
        <v>945</v>
      </c>
      <c r="G23" s="170"/>
      <c r="H23" s="164"/>
      <c r="I23" s="177" t="s">
        <v>211</v>
      </c>
      <c r="J23" s="167" t="s">
        <v>382</v>
      </c>
      <c r="K23" s="167" t="s">
        <v>946</v>
      </c>
      <c r="L23" s="168" t="s">
        <v>947</v>
      </c>
      <c r="M23" s="169" t="s">
        <v>945</v>
      </c>
      <c r="N23" s="170"/>
    </row>
    <row r="24">
      <c r="A24" s="28"/>
      <c r="B24" s="174"/>
      <c r="C24" s="175"/>
      <c r="D24" s="175"/>
      <c r="E24" s="175"/>
      <c r="F24" s="176"/>
      <c r="G24" s="176"/>
      <c r="H24" s="164"/>
      <c r="I24" s="174"/>
      <c r="J24" s="175"/>
      <c r="K24" s="175"/>
      <c r="L24" s="175"/>
      <c r="M24" s="176"/>
      <c r="N24" s="176"/>
    </row>
    <row r="25">
      <c r="A25" s="28"/>
      <c r="B25" s="179" t="s">
        <v>216</v>
      </c>
      <c r="C25" s="167" t="s">
        <v>948</v>
      </c>
      <c r="D25" s="167">
        <v>108.0</v>
      </c>
      <c r="E25" s="168">
        <v>291.6</v>
      </c>
      <c r="F25" s="169" t="s">
        <v>949</v>
      </c>
      <c r="G25" s="170"/>
      <c r="H25" s="164"/>
      <c r="I25" s="179" t="s">
        <v>216</v>
      </c>
      <c r="J25" s="167" t="s">
        <v>950</v>
      </c>
      <c r="K25" s="167" t="s">
        <v>530</v>
      </c>
      <c r="L25" s="168">
        <v>255.0</v>
      </c>
      <c r="M25" s="172"/>
      <c r="N25" s="170"/>
    </row>
    <row r="26">
      <c r="A26" s="28"/>
      <c r="B26" s="180" t="s">
        <v>223</v>
      </c>
      <c r="C26" s="167" t="s">
        <v>951</v>
      </c>
      <c r="D26" s="167">
        <v>107.0</v>
      </c>
      <c r="E26" s="168">
        <v>99.5</v>
      </c>
      <c r="F26" s="172"/>
      <c r="G26" s="170"/>
      <c r="H26" s="164"/>
      <c r="I26" s="180" t="s">
        <v>223</v>
      </c>
      <c r="J26" s="167" t="s">
        <v>224</v>
      </c>
      <c r="K26" s="167" t="s">
        <v>952</v>
      </c>
      <c r="L26" s="168" t="s">
        <v>953</v>
      </c>
      <c r="M26" s="169" t="s">
        <v>954</v>
      </c>
      <c r="N26" s="170"/>
    </row>
    <row r="27">
      <c r="A27" s="28"/>
      <c r="B27" s="179" t="s">
        <v>229</v>
      </c>
      <c r="C27" s="167" t="s">
        <v>955</v>
      </c>
      <c r="D27" s="167">
        <v>107.0</v>
      </c>
      <c r="E27" s="168">
        <v>50.3</v>
      </c>
      <c r="F27" s="172"/>
      <c r="G27" s="170"/>
      <c r="H27" s="164"/>
      <c r="I27" s="179" t="s">
        <v>229</v>
      </c>
      <c r="J27" s="167" t="s">
        <v>193</v>
      </c>
      <c r="K27" s="167" t="s">
        <v>651</v>
      </c>
      <c r="L27" s="168" t="s">
        <v>956</v>
      </c>
      <c r="M27" s="172"/>
      <c r="N27" s="170"/>
    </row>
    <row r="28">
      <c r="A28" s="28"/>
      <c r="B28" s="174"/>
      <c r="C28" s="175"/>
      <c r="D28" s="175"/>
      <c r="E28" s="175"/>
      <c r="F28" s="176"/>
      <c r="G28" s="176"/>
      <c r="H28" s="164"/>
      <c r="I28" s="174"/>
      <c r="J28" s="175"/>
      <c r="K28" s="175"/>
      <c r="L28" s="175"/>
      <c r="M28" s="176"/>
      <c r="N28" s="176"/>
    </row>
    <row r="29">
      <c r="A29" s="28"/>
      <c r="B29" s="181" t="s">
        <v>234</v>
      </c>
      <c r="C29" s="167" t="s">
        <v>854</v>
      </c>
      <c r="D29" s="167">
        <v>129.0</v>
      </c>
      <c r="E29" s="168">
        <v>279.9</v>
      </c>
      <c r="F29" s="172"/>
      <c r="G29" s="170"/>
      <c r="H29" s="164"/>
      <c r="I29" s="181" t="s">
        <v>234</v>
      </c>
      <c r="J29" s="167" t="s">
        <v>709</v>
      </c>
      <c r="K29" s="167" t="s">
        <v>239</v>
      </c>
      <c r="L29" s="168" t="s">
        <v>710</v>
      </c>
      <c r="M29" s="172"/>
      <c r="N29" s="170"/>
    </row>
    <row r="30">
      <c r="A30" s="28"/>
      <c r="F30" s="28"/>
      <c r="G30" s="28"/>
    </row>
    <row r="31" ht="34.5" customHeight="1">
      <c r="A31" s="142"/>
      <c r="B31" s="182" t="s">
        <v>241</v>
      </c>
      <c r="C31" s="183"/>
      <c r="D31" s="183"/>
      <c r="E31" s="183"/>
      <c r="F31" s="183"/>
      <c r="G31" s="183"/>
      <c r="H31" s="183"/>
      <c r="I31" s="183"/>
      <c r="J31" s="183"/>
      <c r="K31" s="183"/>
      <c r="L31" s="183"/>
      <c r="M31" s="183"/>
      <c r="N31" s="184"/>
      <c r="O31" s="146"/>
      <c r="P31" s="146"/>
      <c r="Q31" s="146"/>
      <c r="R31" s="146"/>
      <c r="S31" s="146"/>
      <c r="T31" s="146"/>
      <c r="U31" s="146"/>
      <c r="V31" s="146"/>
      <c r="W31" s="146"/>
      <c r="X31" s="146"/>
      <c r="Y31" s="146"/>
      <c r="Z31" s="146"/>
    </row>
    <row r="32" ht="24.75" customHeight="1">
      <c r="A32" s="147"/>
      <c r="B32" s="237" t="s">
        <v>408</v>
      </c>
      <c r="C32" s="235"/>
      <c r="D32" s="235"/>
      <c r="E32" s="235"/>
      <c r="F32" s="235"/>
      <c r="G32" s="236"/>
      <c r="H32" s="185"/>
      <c r="I32" s="152" t="s">
        <v>242</v>
      </c>
      <c r="J32" s="149"/>
      <c r="K32" s="149"/>
      <c r="L32" s="149"/>
      <c r="M32" s="149"/>
      <c r="N32" s="150"/>
      <c r="O32" s="153"/>
      <c r="P32" s="153"/>
      <c r="Q32" s="153"/>
      <c r="R32" s="153"/>
      <c r="S32" s="153"/>
      <c r="T32" s="153"/>
      <c r="U32" s="153"/>
      <c r="V32" s="153"/>
      <c r="W32" s="153"/>
      <c r="X32" s="153"/>
      <c r="Y32" s="153"/>
      <c r="Z32" s="153"/>
    </row>
    <row r="33">
      <c r="A33" s="28"/>
      <c r="B33" s="186" t="s">
        <v>172</v>
      </c>
      <c r="C33" s="186" t="s">
        <v>175</v>
      </c>
      <c r="D33" s="186" t="s">
        <v>243</v>
      </c>
      <c r="E33" s="187" t="s">
        <v>244</v>
      </c>
      <c r="F33" s="188" t="s">
        <v>245</v>
      </c>
      <c r="G33" s="235"/>
      <c r="H33" s="190"/>
      <c r="I33" s="157" t="s">
        <v>172</v>
      </c>
      <c r="J33" s="157" t="s">
        <v>175</v>
      </c>
      <c r="K33" s="157" t="s">
        <v>243</v>
      </c>
      <c r="L33" s="157" t="s">
        <v>244</v>
      </c>
      <c r="M33" s="191" t="s">
        <v>245</v>
      </c>
      <c r="N33" s="150"/>
    </row>
    <row r="34">
      <c r="A34" s="28"/>
      <c r="B34" s="193" t="s">
        <v>246</v>
      </c>
      <c r="C34" s="465" t="s">
        <v>957</v>
      </c>
      <c r="D34" s="366" t="s">
        <v>410</v>
      </c>
      <c r="E34" s="367" t="s">
        <v>248</v>
      </c>
      <c r="F34" s="197">
        <v>0.21</v>
      </c>
      <c r="G34" s="198"/>
      <c r="H34" s="164"/>
      <c r="I34" s="199" t="s">
        <v>246</v>
      </c>
      <c r="J34" s="466">
        <v>458.5</v>
      </c>
      <c r="K34" s="402" t="s">
        <v>410</v>
      </c>
      <c r="L34" s="202" t="s">
        <v>248</v>
      </c>
      <c r="M34" s="203">
        <f t="shared" ref="M34:M37" si="1">J34/sum($J$34:$J$37)</f>
        <v>0.2486038063</v>
      </c>
      <c r="N34" s="203"/>
    </row>
    <row r="35">
      <c r="A35" s="28"/>
      <c r="B35" s="204" t="s">
        <v>249</v>
      </c>
      <c r="C35" s="210" t="s">
        <v>958</v>
      </c>
      <c r="D35" s="369" t="s">
        <v>412</v>
      </c>
      <c r="E35" s="212" t="s">
        <v>248</v>
      </c>
      <c r="F35" s="208">
        <v>0.344</v>
      </c>
      <c r="G35" s="209"/>
      <c r="H35" s="164"/>
      <c r="I35" s="204" t="s">
        <v>249</v>
      </c>
      <c r="J35" s="467">
        <v>609.0</v>
      </c>
      <c r="K35" s="369" t="s">
        <v>412</v>
      </c>
      <c r="L35" s="212" t="s">
        <v>248</v>
      </c>
      <c r="M35" s="213">
        <f t="shared" si="1"/>
        <v>0.3302065824</v>
      </c>
      <c r="N35" s="213"/>
    </row>
    <row r="36">
      <c r="A36" s="28"/>
      <c r="B36" s="214" t="s">
        <v>251</v>
      </c>
      <c r="C36" s="220" t="s">
        <v>959</v>
      </c>
      <c r="D36" s="370" t="s">
        <v>414</v>
      </c>
      <c r="E36" s="222" t="s">
        <v>248</v>
      </c>
      <c r="F36" s="218">
        <v>0.217</v>
      </c>
      <c r="G36" s="219"/>
      <c r="H36" s="164"/>
      <c r="I36" s="214" t="s">
        <v>251</v>
      </c>
      <c r="J36" s="243">
        <v>506.4</v>
      </c>
      <c r="K36" s="370" t="s">
        <v>414</v>
      </c>
      <c r="L36" s="222" t="s">
        <v>248</v>
      </c>
      <c r="M36" s="223">
        <f t="shared" si="1"/>
        <v>0.2745757198</v>
      </c>
      <c r="N36" s="223"/>
    </row>
    <row r="37">
      <c r="A37" s="28"/>
      <c r="B37" s="224" t="s">
        <v>253</v>
      </c>
      <c r="C37" s="230" t="s">
        <v>960</v>
      </c>
      <c r="D37" s="371" t="s">
        <v>416</v>
      </c>
      <c r="E37" s="232" t="s">
        <v>248</v>
      </c>
      <c r="F37" s="228">
        <v>0.138</v>
      </c>
      <c r="G37" s="229"/>
      <c r="H37" s="164"/>
      <c r="I37" s="224" t="s">
        <v>253</v>
      </c>
      <c r="J37" s="468">
        <v>270.4</v>
      </c>
      <c r="K37" s="371" t="s">
        <v>416</v>
      </c>
      <c r="L37" s="232" t="s">
        <v>248</v>
      </c>
      <c r="M37" s="233">
        <f t="shared" si="1"/>
        <v>0.1466138914</v>
      </c>
      <c r="N37" s="233"/>
    </row>
    <row r="38">
      <c r="A38" s="28"/>
      <c r="B38" s="28"/>
      <c r="C38" s="28"/>
      <c r="D38" s="28"/>
      <c r="E38" s="28"/>
      <c r="F38" s="28"/>
      <c r="G38" s="28"/>
    </row>
    <row r="39" ht="34.5" customHeight="1">
      <c r="A39" s="142"/>
      <c r="B39" s="234" t="s">
        <v>255</v>
      </c>
      <c r="C39" s="235"/>
      <c r="D39" s="235"/>
      <c r="E39" s="235"/>
      <c r="F39" s="235"/>
      <c r="G39" s="235"/>
      <c r="H39" s="235"/>
      <c r="I39" s="235"/>
      <c r="J39" s="235"/>
      <c r="K39" s="235"/>
      <c r="L39" s="235"/>
      <c r="M39" s="235"/>
      <c r="N39" s="236"/>
      <c r="O39" s="146"/>
      <c r="P39" s="146"/>
      <c r="Q39" s="146"/>
      <c r="R39" s="146"/>
      <c r="S39" s="146"/>
      <c r="T39" s="146"/>
      <c r="U39" s="146"/>
      <c r="V39" s="146"/>
      <c r="W39" s="146"/>
      <c r="X39" s="146"/>
      <c r="Y39" s="146"/>
      <c r="Z39" s="146"/>
    </row>
    <row r="40" ht="24.75" customHeight="1">
      <c r="A40" s="147"/>
      <c r="B40" s="237" t="s">
        <v>256</v>
      </c>
      <c r="C40" s="235"/>
      <c r="D40" s="235"/>
      <c r="E40" s="235"/>
      <c r="F40" s="235"/>
      <c r="G40" s="236"/>
      <c r="H40" s="185"/>
      <c r="I40" s="152" t="s">
        <v>257</v>
      </c>
      <c r="J40" s="149"/>
      <c r="K40" s="149"/>
      <c r="L40" s="149"/>
      <c r="M40" s="149"/>
      <c r="N40" s="150"/>
      <c r="O40" s="153"/>
      <c r="P40" s="153"/>
      <c r="Q40" s="153"/>
      <c r="R40" s="153"/>
      <c r="S40" s="153"/>
      <c r="T40" s="153"/>
      <c r="U40" s="153"/>
      <c r="V40" s="153"/>
      <c r="W40" s="153"/>
      <c r="X40" s="153"/>
      <c r="Y40" s="153"/>
      <c r="Z40" s="153"/>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385"/>
      <c r="B42" s="377" t="s">
        <v>262</v>
      </c>
      <c r="C42" s="243" t="s">
        <v>927</v>
      </c>
      <c r="D42" s="243">
        <v>1845.26</v>
      </c>
      <c r="E42" s="246">
        <v>1.0</v>
      </c>
      <c r="F42" s="386"/>
      <c r="G42" s="235"/>
      <c r="H42" s="387"/>
      <c r="I42" s="377" t="s">
        <v>262</v>
      </c>
      <c r="J42" s="243" t="s">
        <v>927</v>
      </c>
      <c r="K42" s="243">
        <v>1844.3</v>
      </c>
      <c r="L42" s="246">
        <v>1.0</v>
      </c>
      <c r="M42" s="386"/>
      <c r="N42" s="235"/>
      <c r="O42" s="388"/>
      <c r="P42" s="388"/>
      <c r="Q42" s="388"/>
      <c r="R42" s="388"/>
      <c r="S42" s="388"/>
      <c r="T42" s="388"/>
      <c r="U42" s="388"/>
      <c r="V42" s="388"/>
      <c r="W42" s="388"/>
      <c r="X42" s="388"/>
      <c r="Y42" s="388"/>
      <c r="Z42" s="388"/>
    </row>
    <row r="43">
      <c r="A43" s="385"/>
      <c r="B43" s="377" t="s">
        <v>158</v>
      </c>
      <c r="C43" s="243" t="s">
        <v>928</v>
      </c>
      <c r="D43" s="243">
        <v>54.36</v>
      </c>
      <c r="E43" s="246">
        <v>1.0</v>
      </c>
      <c r="F43" s="386"/>
      <c r="G43" s="235"/>
      <c r="H43" s="387"/>
      <c r="I43" s="377" t="s">
        <v>158</v>
      </c>
      <c r="J43" s="243" t="s">
        <v>928</v>
      </c>
      <c r="K43" s="243">
        <v>55.5</v>
      </c>
      <c r="L43" s="246">
        <v>1.0</v>
      </c>
      <c r="M43" s="386"/>
      <c r="N43" s="235"/>
      <c r="O43" s="388"/>
      <c r="P43" s="388"/>
      <c r="Q43" s="388"/>
      <c r="R43" s="388"/>
      <c r="S43" s="388"/>
      <c r="T43" s="388"/>
      <c r="U43" s="388"/>
      <c r="V43" s="388"/>
      <c r="W43" s="388"/>
      <c r="X43" s="388"/>
      <c r="Y43" s="388"/>
      <c r="Z43" s="388"/>
    </row>
    <row r="44">
      <c r="A44" s="385"/>
      <c r="B44" s="377" t="s">
        <v>263</v>
      </c>
      <c r="C44" s="243" t="s">
        <v>929</v>
      </c>
      <c r="D44" s="243">
        <v>57.87</v>
      </c>
      <c r="E44" s="246">
        <v>1.0</v>
      </c>
      <c r="F44" s="386"/>
      <c r="G44" s="235"/>
      <c r="H44" s="387"/>
      <c r="I44" s="377" t="s">
        <v>263</v>
      </c>
      <c r="J44" s="243" t="s">
        <v>929</v>
      </c>
      <c r="K44" s="243">
        <v>46.8</v>
      </c>
      <c r="L44" s="246">
        <v>0.839</v>
      </c>
      <c r="M44" s="386"/>
      <c r="N44" s="235"/>
      <c r="O44" s="388"/>
      <c r="P44" s="388"/>
      <c r="Q44" s="388"/>
      <c r="R44" s="388"/>
      <c r="S44" s="388"/>
      <c r="T44" s="388"/>
      <c r="U44" s="388"/>
      <c r="V44" s="388"/>
      <c r="W44" s="388"/>
      <c r="X44" s="388"/>
      <c r="Y44" s="388"/>
      <c r="Z44" s="388"/>
    </row>
    <row r="45">
      <c r="A45" s="385"/>
      <c r="B45" s="377" t="s">
        <v>264</v>
      </c>
      <c r="C45" s="243" t="s">
        <v>931</v>
      </c>
      <c r="D45" s="243">
        <v>284.93</v>
      </c>
      <c r="E45" s="246">
        <v>1.0</v>
      </c>
      <c r="F45" s="386"/>
      <c r="G45" s="235"/>
      <c r="H45" s="387"/>
      <c r="I45" s="377" t="s">
        <v>264</v>
      </c>
      <c r="J45" s="243" t="s">
        <v>931</v>
      </c>
      <c r="K45" s="243">
        <v>303.8</v>
      </c>
      <c r="L45" s="246">
        <f>K45/293.3</f>
        <v>1.035799523</v>
      </c>
      <c r="M45" s="386"/>
      <c r="N45" s="235"/>
      <c r="O45" s="388"/>
      <c r="P45" s="388"/>
      <c r="Q45" s="388"/>
      <c r="R45" s="388"/>
      <c r="S45" s="388"/>
      <c r="T45" s="388"/>
      <c r="U45" s="388"/>
      <c r="V45" s="388"/>
      <c r="W45" s="388"/>
      <c r="X45" s="388"/>
      <c r="Y45" s="388"/>
      <c r="Z45" s="388"/>
    </row>
    <row r="46">
      <c r="A46" s="385"/>
      <c r="B46" s="377" t="s">
        <v>265</v>
      </c>
      <c r="C46" s="243" t="s">
        <v>660</v>
      </c>
      <c r="D46" s="243">
        <v>1649.94</v>
      </c>
      <c r="E46" s="246">
        <v>1.0</v>
      </c>
      <c r="F46" s="386"/>
      <c r="G46" s="235"/>
      <c r="H46" s="387"/>
      <c r="I46" s="377" t="s">
        <v>265</v>
      </c>
      <c r="J46" s="243" t="s">
        <v>660</v>
      </c>
      <c r="K46" s="243">
        <v>2192.6</v>
      </c>
      <c r="L46" s="246">
        <f>K46/2000</f>
        <v>1.0963</v>
      </c>
      <c r="M46" s="386"/>
      <c r="N46" s="235"/>
      <c r="O46" s="388"/>
      <c r="P46" s="388"/>
      <c r="Q46" s="388"/>
      <c r="R46" s="388"/>
      <c r="S46" s="388"/>
      <c r="T46" s="388"/>
      <c r="U46" s="388"/>
      <c r="V46" s="388"/>
      <c r="W46" s="388"/>
      <c r="X46" s="388"/>
      <c r="Y46" s="388"/>
      <c r="Z46" s="388"/>
    </row>
    <row r="47">
      <c r="A47" s="385"/>
      <c r="B47" s="377" t="s">
        <v>267</v>
      </c>
      <c r="C47" s="243" t="s">
        <v>961</v>
      </c>
      <c r="D47" s="243">
        <v>22.26</v>
      </c>
      <c r="E47" s="246">
        <v>1.0</v>
      </c>
      <c r="F47" s="386"/>
      <c r="G47" s="235"/>
      <c r="H47" s="387"/>
      <c r="I47" s="377" t="s">
        <v>267</v>
      </c>
      <c r="J47" s="243" t="s">
        <v>961</v>
      </c>
      <c r="K47" s="243">
        <v>25.6</v>
      </c>
      <c r="L47" s="246">
        <f>K47/25.4</f>
        <v>1.007874016</v>
      </c>
      <c r="M47" s="386"/>
      <c r="N47" s="235"/>
      <c r="O47" s="388"/>
      <c r="P47" s="388"/>
      <c r="Q47" s="388"/>
      <c r="R47" s="388"/>
      <c r="S47" s="388"/>
      <c r="T47" s="388"/>
      <c r="U47" s="388"/>
      <c r="V47" s="388"/>
      <c r="W47" s="388"/>
      <c r="X47" s="388"/>
      <c r="Y47" s="388"/>
      <c r="Z47" s="388"/>
    </row>
    <row r="48">
      <c r="A48" s="385"/>
      <c r="B48" s="377" t="s">
        <v>269</v>
      </c>
      <c r="C48" s="243" t="s">
        <v>488</v>
      </c>
      <c r="D48" s="243">
        <v>74.74</v>
      </c>
      <c r="E48" s="246">
        <v>1.0</v>
      </c>
      <c r="F48" s="386"/>
      <c r="G48" s="235"/>
      <c r="H48" s="387"/>
      <c r="I48" s="377" t="s">
        <v>269</v>
      </c>
      <c r="J48" s="243" t="s">
        <v>488</v>
      </c>
      <c r="K48" s="243">
        <v>49.2</v>
      </c>
      <c r="L48" s="246">
        <v>1.0</v>
      </c>
      <c r="M48" s="386"/>
      <c r="N48" s="235"/>
      <c r="O48" s="388"/>
      <c r="P48" s="388"/>
      <c r="Q48" s="388"/>
      <c r="R48" s="388"/>
      <c r="S48" s="388"/>
      <c r="T48" s="388"/>
      <c r="U48" s="388"/>
      <c r="V48" s="388"/>
      <c r="W48" s="388"/>
      <c r="X48" s="388"/>
      <c r="Y48" s="388"/>
      <c r="Z48" s="388"/>
    </row>
    <row r="49">
      <c r="A49" s="385"/>
      <c r="B49" s="377" t="s">
        <v>313</v>
      </c>
      <c r="C49" s="243" t="s">
        <v>715</v>
      </c>
      <c r="D49" s="243">
        <v>33.36</v>
      </c>
      <c r="E49" s="246">
        <v>1.0</v>
      </c>
      <c r="F49" s="386"/>
      <c r="G49" s="235"/>
      <c r="H49" s="389"/>
      <c r="I49" s="377" t="s">
        <v>313</v>
      </c>
      <c r="J49" s="243" t="s">
        <v>715</v>
      </c>
      <c r="K49" s="243">
        <v>20.4</v>
      </c>
      <c r="L49" s="246">
        <v>0.681</v>
      </c>
      <c r="M49" s="386"/>
      <c r="N49" s="235"/>
      <c r="O49" s="388"/>
      <c r="P49" s="388"/>
      <c r="Q49" s="388"/>
      <c r="R49" s="388"/>
      <c r="S49" s="388"/>
      <c r="T49" s="388"/>
      <c r="U49" s="388"/>
      <c r="V49" s="388"/>
      <c r="W49" s="388"/>
      <c r="X49" s="388"/>
      <c r="Y49" s="388"/>
      <c r="Z49" s="388"/>
    </row>
    <row r="50">
      <c r="A50" s="385"/>
      <c r="B50" s="377" t="s">
        <v>420</v>
      </c>
      <c r="C50" s="243" t="s">
        <v>421</v>
      </c>
      <c r="D50" s="243">
        <v>76.11</v>
      </c>
      <c r="E50" s="246">
        <v>1.0</v>
      </c>
      <c r="F50" s="386"/>
      <c r="G50" s="235"/>
      <c r="H50" s="389"/>
      <c r="I50" s="377" t="s">
        <v>420</v>
      </c>
      <c r="J50" s="243" t="s">
        <v>421</v>
      </c>
      <c r="K50" s="243">
        <v>21.5</v>
      </c>
      <c r="L50" s="246">
        <v>0.286</v>
      </c>
      <c r="M50" s="386"/>
      <c r="N50" s="235"/>
      <c r="O50" s="388"/>
      <c r="P50" s="388"/>
      <c r="Q50" s="388"/>
      <c r="R50" s="388"/>
      <c r="S50" s="388"/>
      <c r="T50" s="388"/>
      <c r="U50" s="388"/>
      <c r="V50" s="388"/>
      <c r="W50" s="388"/>
      <c r="X50" s="388"/>
      <c r="Y50" s="388"/>
      <c r="Z50" s="388"/>
    </row>
    <row r="51">
      <c r="A51" s="385"/>
      <c r="B51" s="377" t="s">
        <v>422</v>
      </c>
      <c r="C51" s="243" t="s">
        <v>423</v>
      </c>
      <c r="D51" s="243">
        <v>0.32</v>
      </c>
      <c r="E51" s="246">
        <v>0.457</v>
      </c>
      <c r="F51" s="386"/>
      <c r="G51" s="235"/>
      <c r="H51" s="389"/>
      <c r="I51" s="377" t="s">
        <v>422</v>
      </c>
      <c r="J51" s="243" t="s">
        <v>423</v>
      </c>
      <c r="K51" s="243">
        <v>0.0564</v>
      </c>
      <c r="L51" s="246">
        <v>0.081</v>
      </c>
      <c r="M51" s="386"/>
      <c r="N51" s="235"/>
      <c r="O51" s="388"/>
      <c r="P51" s="388"/>
      <c r="Q51" s="388"/>
      <c r="R51" s="388"/>
      <c r="S51" s="388"/>
      <c r="T51" s="388"/>
      <c r="U51" s="388"/>
      <c r="V51" s="388"/>
      <c r="W51" s="388"/>
      <c r="X51" s="388"/>
      <c r="Y51" s="388"/>
      <c r="Z51" s="388"/>
    </row>
    <row r="52">
      <c r="A52" s="385"/>
      <c r="B52" s="377" t="s">
        <v>292</v>
      </c>
      <c r="C52" s="243">
        <v>1.3</v>
      </c>
      <c r="D52" s="243">
        <v>2.12</v>
      </c>
      <c r="E52" s="246">
        <v>1.0</v>
      </c>
      <c r="F52" s="386"/>
      <c r="G52" s="235"/>
      <c r="H52" s="387"/>
      <c r="I52" s="377" t="s">
        <v>292</v>
      </c>
      <c r="J52" s="243">
        <v>1.3</v>
      </c>
      <c r="K52" s="243">
        <v>1.8</v>
      </c>
      <c r="L52" s="246">
        <v>1.0</v>
      </c>
      <c r="M52" s="386"/>
      <c r="N52" s="235"/>
      <c r="O52" s="388"/>
      <c r="P52" s="388"/>
      <c r="Q52" s="388"/>
      <c r="R52" s="388"/>
      <c r="S52" s="388"/>
      <c r="T52" s="388"/>
      <c r="U52" s="388"/>
      <c r="V52" s="388"/>
      <c r="W52" s="388"/>
      <c r="X52" s="388"/>
      <c r="Y52" s="388"/>
      <c r="Z52" s="388"/>
    </row>
    <row r="53">
      <c r="A53" s="385"/>
      <c r="B53" s="377" t="s">
        <v>296</v>
      </c>
      <c r="C53" s="243">
        <v>0.0024</v>
      </c>
      <c r="D53" s="243">
        <v>0.0</v>
      </c>
      <c r="E53" s="246">
        <v>0.0</v>
      </c>
      <c r="F53" s="386"/>
      <c r="G53" s="235"/>
      <c r="H53" s="387"/>
      <c r="I53" s="377" t="s">
        <v>296</v>
      </c>
      <c r="J53" s="243">
        <v>0.0024</v>
      </c>
      <c r="K53" s="243">
        <v>5.0E-4</v>
      </c>
      <c r="L53" s="246">
        <v>0.208</v>
      </c>
      <c r="M53" s="386"/>
      <c r="N53" s="235"/>
      <c r="O53" s="388"/>
      <c r="P53" s="388"/>
      <c r="Q53" s="388"/>
      <c r="R53" s="388"/>
      <c r="S53" s="388"/>
      <c r="T53" s="388"/>
      <c r="U53" s="388"/>
      <c r="V53" s="388"/>
      <c r="W53" s="388"/>
      <c r="X53" s="388"/>
      <c r="Y53" s="388"/>
      <c r="Z53" s="388"/>
    </row>
    <row r="54">
      <c r="A54" s="385"/>
      <c r="B54" s="452" t="s">
        <v>299</v>
      </c>
      <c r="C54" s="453" t="s">
        <v>426</v>
      </c>
      <c r="D54" s="243">
        <v>16.44</v>
      </c>
      <c r="E54" s="246">
        <v>1.0</v>
      </c>
      <c r="F54" s="386"/>
      <c r="G54" s="235"/>
      <c r="H54" s="389"/>
      <c r="I54" s="452" t="s">
        <v>299</v>
      </c>
      <c r="J54" s="453" t="s">
        <v>426</v>
      </c>
      <c r="K54" s="453">
        <v>16.0</v>
      </c>
      <c r="L54" s="454">
        <v>1.0</v>
      </c>
      <c r="M54" s="455"/>
      <c r="N54" s="235"/>
      <c r="O54" s="388"/>
      <c r="P54" s="388"/>
      <c r="Q54" s="388"/>
      <c r="R54" s="388"/>
      <c r="S54" s="388"/>
      <c r="T54" s="388"/>
      <c r="U54" s="388"/>
      <c r="V54" s="388"/>
      <c r="W54" s="388"/>
      <c r="X54" s="388"/>
      <c r="Y54" s="388"/>
      <c r="Z54" s="388"/>
    </row>
    <row r="55">
      <c r="A55" s="385"/>
      <c r="B55" s="452" t="s">
        <v>427</v>
      </c>
      <c r="C55" s="453" t="s">
        <v>428</v>
      </c>
      <c r="D55" s="243">
        <v>9.0</v>
      </c>
      <c r="E55" s="246">
        <v>1.0</v>
      </c>
      <c r="F55" s="386"/>
      <c r="G55" s="235"/>
      <c r="H55" s="389"/>
      <c r="I55" s="452" t="s">
        <v>427</v>
      </c>
      <c r="J55" s="453" t="s">
        <v>428</v>
      </c>
      <c r="K55" s="453">
        <v>6.1</v>
      </c>
      <c r="L55" s="454">
        <v>0.758</v>
      </c>
      <c r="M55" s="455"/>
      <c r="N55" s="235"/>
      <c r="O55" s="388"/>
      <c r="P55" s="388"/>
      <c r="Q55" s="388"/>
      <c r="R55" s="388"/>
      <c r="S55" s="388"/>
      <c r="T55" s="388"/>
      <c r="U55" s="388"/>
      <c r="V55" s="388"/>
      <c r="W55" s="388"/>
      <c r="X55" s="388"/>
      <c r="Y55" s="388"/>
      <c r="Z55" s="388"/>
    </row>
    <row r="56">
      <c r="A56" s="385"/>
      <c r="B56" s="452" t="s">
        <v>297</v>
      </c>
      <c r="C56" s="453" t="s">
        <v>962</v>
      </c>
      <c r="D56" s="243">
        <v>995.39</v>
      </c>
      <c r="E56" s="246">
        <v>1.0</v>
      </c>
      <c r="F56" s="386"/>
      <c r="G56" s="235"/>
      <c r="H56" s="389"/>
      <c r="I56" s="452" t="s">
        <v>297</v>
      </c>
      <c r="J56" s="453" t="s">
        <v>962</v>
      </c>
      <c r="K56" s="453">
        <v>450.4</v>
      </c>
      <c r="L56" s="454">
        <v>0.486</v>
      </c>
      <c r="M56" s="455"/>
      <c r="N56" s="235"/>
      <c r="O56" s="388"/>
      <c r="P56" s="388"/>
      <c r="Q56" s="388"/>
      <c r="R56" s="388"/>
      <c r="S56" s="388"/>
      <c r="T56" s="388"/>
      <c r="U56" s="388"/>
      <c r="V56" s="388"/>
      <c r="W56" s="388"/>
      <c r="X56" s="388"/>
      <c r="Y56" s="388"/>
      <c r="Z56" s="388"/>
    </row>
    <row r="57">
      <c r="A57" s="385"/>
      <c r="B57" s="452" t="s">
        <v>304</v>
      </c>
      <c r="C57" s="453" t="s">
        <v>716</v>
      </c>
      <c r="D57" s="243">
        <v>4039.83</v>
      </c>
      <c r="E57" s="246">
        <v>1.0</v>
      </c>
      <c r="F57" s="386"/>
      <c r="G57" s="235"/>
      <c r="H57" s="389"/>
      <c r="I57" s="452" t="s">
        <v>304</v>
      </c>
      <c r="J57" s="453" t="s">
        <v>716</v>
      </c>
      <c r="K57" s="453">
        <v>1939.2</v>
      </c>
      <c r="L57" s="454">
        <v>0.57</v>
      </c>
      <c r="M57" s="455"/>
      <c r="N57" s="235"/>
      <c r="O57" s="388"/>
      <c r="P57" s="388"/>
      <c r="Q57" s="388"/>
      <c r="R57" s="388"/>
      <c r="S57" s="388"/>
      <c r="T57" s="388"/>
      <c r="U57" s="388"/>
      <c r="V57" s="388"/>
      <c r="W57" s="388"/>
      <c r="X57" s="388"/>
      <c r="Y57" s="388"/>
      <c r="Z57" s="388"/>
    </row>
    <row r="58">
      <c r="A58" s="385"/>
      <c r="B58" s="452" t="s">
        <v>271</v>
      </c>
      <c r="C58" s="453" t="s">
        <v>963</v>
      </c>
      <c r="D58" s="243">
        <v>12.76</v>
      </c>
      <c r="E58" s="246">
        <v>1.0</v>
      </c>
      <c r="F58" s="386"/>
      <c r="G58" s="235"/>
      <c r="H58" s="389"/>
      <c r="I58" s="452" t="s">
        <v>271</v>
      </c>
      <c r="J58" s="453" t="s">
        <v>963</v>
      </c>
      <c r="K58" s="453">
        <v>11.9</v>
      </c>
      <c r="L58" s="454">
        <v>1.0</v>
      </c>
      <c r="M58" s="455"/>
      <c r="N58" s="235"/>
      <c r="O58" s="388"/>
      <c r="P58" s="388"/>
      <c r="Q58" s="388"/>
      <c r="R58" s="388"/>
      <c r="S58" s="388"/>
      <c r="T58" s="388"/>
      <c r="U58" s="388"/>
      <c r="V58" s="388"/>
      <c r="W58" s="388"/>
      <c r="X58" s="388"/>
      <c r="Y58" s="388"/>
      <c r="Z58" s="388"/>
    </row>
    <row r="59">
      <c r="A59" s="385"/>
      <c r="B59" s="452" t="s">
        <v>492</v>
      </c>
      <c r="C59" s="453" t="s">
        <v>493</v>
      </c>
      <c r="D59" s="243">
        <v>452.84</v>
      </c>
      <c r="E59" s="246">
        <v>1.0</v>
      </c>
      <c r="F59" s="386"/>
      <c r="G59" s="235"/>
      <c r="H59" s="389"/>
      <c r="I59" s="452" t="s">
        <v>492</v>
      </c>
      <c r="J59" s="453" t="s">
        <v>493</v>
      </c>
      <c r="K59" s="453">
        <v>245.8</v>
      </c>
      <c r="L59" s="454">
        <v>1.0</v>
      </c>
      <c r="M59" s="455"/>
      <c r="N59" s="235"/>
      <c r="O59" s="388"/>
      <c r="P59" s="388"/>
      <c r="Q59" s="388"/>
      <c r="R59" s="388"/>
      <c r="S59" s="388"/>
      <c r="T59" s="388"/>
      <c r="U59" s="388"/>
      <c r="V59" s="388"/>
      <c r="W59" s="388"/>
      <c r="X59" s="388"/>
      <c r="Y59" s="388"/>
      <c r="Z59" s="388"/>
    </row>
    <row r="60">
      <c r="A60" s="385"/>
      <c r="B60" s="452" t="s">
        <v>302</v>
      </c>
      <c r="C60" s="453" t="s">
        <v>663</v>
      </c>
      <c r="D60" s="243">
        <v>875.32</v>
      </c>
      <c r="E60" s="246">
        <v>1.0</v>
      </c>
      <c r="F60" s="386"/>
      <c r="G60" s="235"/>
      <c r="H60" s="389"/>
      <c r="I60" s="452" t="s">
        <v>302</v>
      </c>
      <c r="J60" s="453" t="s">
        <v>663</v>
      </c>
      <c r="K60" s="453">
        <v>918.7</v>
      </c>
      <c r="L60" s="454">
        <v>1.0</v>
      </c>
      <c r="M60" s="455"/>
      <c r="N60" s="235"/>
      <c r="O60" s="388"/>
      <c r="P60" s="388"/>
      <c r="Q60" s="388"/>
      <c r="R60" s="388"/>
      <c r="S60" s="388"/>
      <c r="T60" s="388"/>
      <c r="U60" s="388"/>
      <c r="V60" s="388"/>
      <c r="W60" s="388"/>
      <c r="X60" s="388"/>
      <c r="Y60" s="388"/>
      <c r="Z60" s="388"/>
    </row>
    <row r="61">
      <c r="A61" s="28"/>
      <c r="B61" s="28"/>
      <c r="C61" s="28"/>
      <c r="D61" s="28"/>
      <c r="E61" s="28"/>
      <c r="F61" s="28"/>
      <c r="G61" s="28"/>
    </row>
    <row r="62" ht="34.5" customHeight="1">
      <c r="A62" s="142"/>
      <c r="B62" s="234" t="s">
        <v>273</v>
      </c>
      <c r="C62" s="235"/>
      <c r="D62" s="235"/>
      <c r="E62" s="235"/>
      <c r="F62" s="235"/>
      <c r="G62" s="235"/>
      <c r="H62" s="235"/>
      <c r="I62" s="235"/>
      <c r="J62" s="235"/>
      <c r="K62" s="235"/>
      <c r="L62" s="235"/>
      <c r="M62" s="235"/>
      <c r="N62" s="236"/>
      <c r="O62" s="146"/>
      <c r="P62" s="146"/>
      <c r="Q62" s="146"/>
      <c r="R62" s="146"/>
      <c r="S62" s="146"/>
      <c r="T62" s="146"/>
      <c r="U62" s="146"/>
      <c r="V62" s="146"/>
      <c r="W62" s="146"/>
      <c r="X62" s="146"/>
      <c r="Y62" s="146"/>
      <c r="Z62" s="146"/>
    </row>
    <row r="63" ht="24.75" customHeight="1">
      <c r="A63" s="147"/>
      <c r="B63" s="237" t="s">
        <v>274</v>
      </c>
      <c r="C63" s="235"/>
      <c r="D63" s="235"/>
      <c r="E63" s="235"/>
      <c r="F63" s="235"/>
      <c r="G63" s="236"/>
      <c r="H63" s="185"/>
      <c r="I63" s="152" t="s">
        <v>275</v>
      </c>
      <c r="J63" s="149"/>
      <c r="K63" s="149"/>
      <c r="L63" s="149"/>
      <c r="M63" s="149"/>
      <c r="N63" s="150"/>
      <c r="O63" s="153"/>
      <c r="P63" s="153"/>
      <c r="Q63" s="153"/>
      <c r="R63" s="153"/>
      <c r="S63" s="153"/>
      <c r="T63" s="153"/>
      <c r="U63" s="153"/>
      <c r="V63" s="153"/>
      <c r="W63" s="153"/>
      <c r="X63" s="153"/>
      <c r="Y63" s="153"/>
      <c r="Z63" s="153"/>
    </row>
    <row r="64">
      <c r="A64" s="28"/>
      <c r="B64" s="238" t="s">
        <v>258</v>
      </c>
      <c r="C64" s="238" t="s">
        <v>276</v>
      </c>
      <c r="D64" s="238" t="s">
        <v>260</v>
      </c>
      <c r="E64" s="376" t="s">
        <v>261</v>
      </c>
      <c r="F64" s="251" t="s">
        <v>244</v>
      </c>
      <c r="G64" s="252"/>
      <c r="H64" s="190"/>
      <c r="I64" s="239" t="s">
        <v>258</v>
      </c>
      <c r="J64" s="239" t="s">
        <v>276</v>
      </c>
      <c r="K64" s="239" t="s">
        <v>260</v>
      </c>
      <c r="L64" s="240" t="s">
        <v>261</v>
      </c>
      <c r="M64" s="241"/>
      <c r="N64" s="150"/>
    </row>
    <row r="65">
      <c r="A65" s="385"/>
      <c r="B65" s="377" t="s">
        <v>282</v>
      </c>
      <c r="C65" s="243" t="s">
        <v>283</v>
      </c>
      <c r="D65" s="243">
        <v>0.0</v>
      </c>
      <c r="E65" s="246">
        <v>0.0</v>
      </c>
      <c r="F65" s="391"/>
      <c r="G65" s="256"/>
      <c r="H65" s="387"/>
      <c r="I65" s="377" t="s">
        <v>282</v>
      </c>
      <c r="J65" s="243" t="s">
        <v>283</v>
      </c>
      <c r="K65" s="243">
        <v>1.0E-4</v>
      </c>
      <c r="L65" s="246">
        <v>0.007</v>
      </c>
      <c r="M65" s="391"/>
      <c r="N65" s="256"/>
      <c r="O65" s="388"/>
      <c r="P65" s="388"/>
      <c r="Q65" s="388"/>
      <c r="R65" s="388"/>
      <c r="S65" s="388"/>
      <c r="T65" s="388"/>
      <c r="U65" s="388"/>
      <c r="V65" s="388"/>
      <c r="W65" s="388"/>
      <c r="X65" s="388"/>
      <c r="Y65" s="388"/>
      <c r="Z65" s="388"/>
    </row>
    <row r="66">
      <c r="A66" s="385"/>
      <c r="B66" s="377" t="s">
        <v>284</v>
      </c>
      <c r="C66" s="243" t="s">
        <v>285</v>
      </c>
      <c r="D66" s="243">
        <v>7.19</v>
      </c>
      <c r="E66" s="246">
        <v>0.4793333</v>
      </c>
      <c r="F66" s="386"/>
      <c r="G66" s="235"/>
      <c r="H66" s="387"/>
      <c r="I66" s="377" t="s">
        <v>284</v>
      </c>
      <c r="J66" s="243" t="s">
        <v>285</v>
      </c>
      <c r="K66" s="243">
        <v>7.8</v>
      </c>
      <c r="L66" s="246">
        <v>0.52</v>
      </c>
      <c r="M66" s="386"/>
      <c r="N66" s="235"/>
      <c r="O66" s="388"/>
      <c r="P66" s="388"/>
      <c r="Q66" s="388"/>
      <c r="R66" s="388"/>
      <c r="S66" s="388"/>
      <c r="T66" s="388"/>
      <c r="U66" s="388"/>
      <c r="V66" s="388"/>
      <c r="W66" s="388"/>
      <c r="X66" s="388"/>
      <c r="Y66" s="388"/>
      <c r="Z66" s="388"/>
    </row>
    <row r="67">
      <c r="A67" s="385"/>
      <c r="B67" s="377" t="s">
        <v>286</v>
      </c>
      <c r="C67" s="243">
        <v>0.1</v>
      </c>
      <c r="D67" s="243">
        <v>0.02</v>
      </c>
      <c r="E67" s="246">
        <v>0.1666667</v>
      </c>
      <c r="F67" s="386"/>
      <c r="G67" s="235"/>
      <c r="H67" s="387"/>
      <c r="I67" s="377" t="s">
        <v>286</v>
      </c>
      <c r="J67" s="243">
        <v>0.1</v>
      </c>
      <c r="K67" s="243">
        <v>0.0247</v>
      </c>
      <c r="L67" s="246">
        <v>0.206</v>
      </c>
      <c r="M67" s="386"/>
      <c r="N67" s="235"/>
      <c r="O67" s="388"/>
      <c r="P67" s="388"/>
      <c r="Q67" s="388"/>
      <c r="R67" s="388"/>
      <c r="S67" s="388"/>
      <c r="T67" s="388"/>
      <c r="U67" s="388"/>
      <c r="V67" s="388"/>
      <c r="W67" s="388"/>
      <c r="X67" s="388"/>
      <c r="Y67" s="388"/>
      <c r="Z67" s="388"/>
    </row>
    <row r="68">
      <c r="A68" s="385"/>
      <c r="B68" s="377" t="s">
        <v>287</v>
      </c>
      <c r="C68" s="243">
        <v>1.2</v>
      </c>
      <c r="D68" s="243">
        <v>1.26</v>
      </c>
      <c r="E68" s="246">
        <v>1.0</v>
      </c>
      <c r="F68" s="386"/>
      <c r="G68" s="235"/>
      <c r="H68" s="387"/>
      <c r="I68" s="377" t="s">
        <v>287</v>
      </c>
      <c r="J68" s="243">
        <v>1.2</v>
      </c>
      <c r="K68" s="243">
        <v>1.9</v>
      </c>
      <c r="L68" s="246">
        <v>1.0</v>
      </c>
      <c r="M68" s="386"/>
      <c r="N68" s="235"/>
      <c r="O68" s="388"/>
      <c r="P68" s="388"/>
      <c r="Q68" s="388"/>
      <c r="R68" s="388"/>
      <c r="S68" s="388"/>
      <c r="T68" s="388"/>
      <c r="U68" s="388"/>
      <c r="V68" s="388"/>
      <c r="W68" s="388"/>
      <c r="X68" s="388"/>
      <c r="Y68" s="388"/>
      <c r="Z68" s="388"/>
    </row>
    <row r="69">
      <c r="A69" s="385"/>
      <c r="B69" s="377" t="s">
        <v>288</v>
      </c>
      <c r="C69" s="243">
        <v>1.3</v>
      </c>
      <c r="D69" s="243">
        <v>1.24</v>
      </c>
      <c r="E69" s="246">
        <v>0.9538462</v>
      </c>
      <c r="F69" s="386"/>
      <c r="G69" s="235"/>
      <c r="H69" s="387"/>
      <c r="I69" s="377" t="s">
        <v>288</v>
      </c>
      <c r="J69" s="243">
        <v>1.3</v>
      </c>
      <c r="K69" s="243">
        <v>1.3</v>
      </c>
      <c r="L69" s="246">
        <v>0.997</v>
      </c>
      <c r="M69" s="386"/>
      <c r="N69" s="235"/>
      <c r="O69" s="388"/>
      <c r="P69" s="388"/>
      <c r="Q69" s="388"/>
      <c r="R69" s="388"/>
      <c r="S69" s="388"/>
      <c r="T69" s="388"/>
      <c r="U69" s="388"/>
      <c r="V69" s="388"/>
      <c r="W69" s="388"/>
      <c r="X69" s="388"/>
      <c r="Y69" s="388"/>
      <c r="Z69" s="388"/>
    </row>
    <row r="70">
      <c r="A70" s="385"/>
      <c r="B70" s="377" t="s">
        <v>289</v>
      </c>
      <c r="C70" s="243" t="s">
        <v>290</v>
      </c>
      <c r="D70" s="243">
        <v>23.61</v>
      </c>
      <c r="E70" s="246">
        <v>1.0</v>
      </c>
      <c r="F70" s="386"/>
      <c r="G70" s="235"/>
      <c r="H70" s="387"/>
      <c r="I70" s="377" t="s">
        <v>289</v>
      </c>
      <c r="J70" s="243" t="s">
        <v>290</v>
      </c>
      <c r="K70" s="243">
        <v>25.4</v>
      </c>
      <c r="L70" s="246">
        <v>1.0</v>
      </c>
      <c r="M70" s="386"/>
      <c r="N70" s="235"/>
      <c r="O70" s="388"/>
      <c r="P70" s="388"/>
      <c r="Q70" s="388"/>
      <c r="R70" s="388"/>
      <c r="S70" s="388"/>
      <c r="T70" s="388"/>
      <c r="U70" s="388"/>
      <c r="V70" s="388"/>
      <c r="W70" s="388"/>
      <c r="X70" s="388"/>
      <c r="Y70" s="388"/>
      <c r="Z70" s="388"/>
    </row>
    <row r="71">
      <c r="A71" s="385"/>
      <c r="B71" s="377" t="s">
        <v>291</v>
      </c>
      <c r="C71" s="243">
        <v>5.0</v>
      </c>
      <c r="D71" s="243">
        <v>5.26</v>
      </c>
      <c r="E71" s="246">
        <v>1.0</v>
      </c>
      <c r="F71" s="386"/>
      <c r="G71" s="235"/>
      <c r="H71" s="387"/>
      <c r="I71" s="377" t="s">
        <v>291</v>
      </c>
      <c r="J71" s="243">
        <v>5.0</v>
      </c>
      <c r="K71" s="243">
        <v>4.0</v>
      </c>
      <c r="L71" s="246">
        <v>0.806</v>
      </c>
      <c r="M71" s="386"/>
      <c r="N71" s="235"/>
      <c r="O71" s="388"/>
      <c r="P71" s="388"/>
      <c r="Q71" s="388"/>
      <c r="R71" s="388"/>
      <c r="S71" s="388"/>
      <c r="T71" s="388"/>
      <c r="U71" s="388"/>
      <c r="V71" s="388"/>
      <c r="W71" s="388"/>
      <c r="X71" s="388"/>
      <c r="Y71" s="388"/>
      <c r="Z71" s="388"/>
    </row>
    <row r="72">
      <c r="A72" s="385"/>
      <c r="B72" s="377" t="s">
        <v>294</v>
      </c>
      <c r="C72" s="243" t="s">
        <v>914</v>
      </c>
      <c r="D72" s="243">
        <v>0.51</v>
      </c>
      <c r="E72" s="246">
        <v>0.85</v>
      </c>
      <c r="F72" s="386"/>
      <c r="G72" s="235"/>
      <c r="H72" s="387"/>
      <c r="I72" s="377" t="s">
        <v>294</v>
      </c>
      <c r="J72" s="243" t="s">
        <v>914</v>
      </c>
      <c r="K72" s="243">
        <v>0.3</v>
      </c>
      <c r="L72" s="246">
        <v>0.575</v>
      </c>
      <c r="M72" s="386"/>
      <c r="N72" s="235"/>
      <c r="O72" s="388"/>
      <c r="P72" s="388"/>
      <c r="Q72" s="388"/>
      <c r="R72" s="388"/>
      <c r="S72" s="388"/>
      <c r="T72" s="388"/>
      <c r="U72" s="388"/>
      <c r="V72" s="388"/>
      <c r="W72" s="388"/>
      <c r="X72" s="388"/>
      <c r="Y72" s="388"/>
      <c r="Z72" s="388"/>
    </row>
    <row r="73">
      <c r="A73" s="385"/>
      <c r="B73" s="377" t="s">
        <v>307</v>
      </c>
      <c r="C73" s="243" t="s">
        <v>308</v>
      </c>
      <c r="D73" s="243">
        <v>2.96</v>
      </c>
      <c r="E73" s="246">
        <v>1.0</v>
      </c>
      <c r="F73" s="386"/>
      <c r="G73" s="235"/>
      <c r="H73" s="387"/>
      <c r="I73" s="377" t="s">
        <v>307</v>
      </c>
      <c r="J73" s="243" t="s">
        <v>308</v>
      </c>
      <c r="K73" s="243">
        <v>1.2</v>
      </c>
      <c r="L73" s="246">
        <v>1.0</v>
      </c>
      <c r="M73" s="386"/>
      <c r="N73" s="235"/>
      <c r="O73" s="388"/>
      <c r="P73" s="388"/>
      <c r="Q73" s="388"/>
      <c r="R73" s="388"/>
      <c r="S73" s="388"/>
      <c r="T73" s="388"/>
      <c r="U73" s="388"/>
      <c r="V73" s="388"/>
      <c r="W73" s="388"/>
      <c r="X73" s="388"/>
      <c r="Y73" s="388"/>
      <c r="Z73" s="388"/>
    </row>
    <row r="74">
      <c r="A74" s="385"/>
      <c r="B74" s="377" t="s">
        <v>309</v>
      </c>
      <c r="C74" s="243" t="s">
        <v>310</v>
      </c>
      <c r="D74" s="243">
        <v>10.29</v>
      </c>
      <c r="E74" s="246">
        <v>1.0</v>
      </c>
      <c r="F74" s="386"/>
      <c r="G74" s="235"/>
      <c r="H74" s="387"/>
      <c r="I74" s="377" t="s">
        <v>309</v>
      </c>
      <c r="J74" s="243" t="s">
        <v>310</v>
      </c>
      <c r="K74" s="243">
        <v>3.6</v>
      </c>
      <c r="L74" s="246">
        <v>1.0</v>
      </c>
      <c r="M74" s="386"/>
      <c r="N74" s="235"/>
      <c r="O74" s="388"/>
      <c r="P74" s="388"/>
      <c r="Q74" s="388"/>
      <c r="R74" s="388"/>
      <c r="S74" s="388"/>
      <c r="T74" s="388"/>
      <c r="U74" s="388"/>
      <c r="V74" s="388"/>
      <c r="W74" s="388"/>
      <c r="X74" s="388"/>
      <c r="Y74" s="388"/>
      <c r="Z74" s="388"/>
    </row>
    <row r="75">
      <c r="A75" s="385"/>
      <c r="B75" s="377" t="s">
        <v>311</v>
      </c>
      <c r="C75" s="243" t="s">
        <v>312</v>
      </c>
      <c r="D75" s="243">
        <v>0.12</v>
      </c>
      <c r="E75" s="246">
        <v>1.0</v>
      </c>
      <c r="F75" s="386"/>
      <c r="G75" s="235"/>
      <c r="H75" s="387"/>
      <c r="I75" s="377" t="s">
        <v>311</v>
      </c>
      <c r="J75" s="243" t="s">
        <v>312</v>
      </c>
      <c r="K75" s="243">
        <v>0.1</v>
      </c>
      <c r="L75" s="246">
        <v>1.0</v>
      </c>
      <c r="M75" s="386"/>
      <c r="N75" s="235"/>
      <c r="O75" s="388"/>
      <c r="P75" s="388"/>
      <c r="Q75" s="388"/>
      <c r="R75" s="388"/>
      <c r="S75" s="388"/>
      <c r="T75" s="388"/>
      <c r="U75" s="388"/>
      <c r="V75" s="388"/>
      <c r="W75" s="388"/>
      <c r="X75" s="388"/>
      <c r="Y75" s="388"/>
      <c r="Z75" s="388"/>
    </row>
    <row r="76">
      <c r="A76" s="385"/>
      <c r="B76" s="377" t="s">
        <v>167</v>
      </c>
      <c r="C76" s="243">
        <v>3700.0</v>
      </c>
      <c r="D76" s="243">
        <v>641.51</v>
      </c>
      <c r="E76" s="246">
        <v>0.1733811</v>
      </c>
      <c r="F76" s="386"/>
      <c r="G76" s="235"/>
      <c r="H76" s="387"/>
      <c r="I76" s="377" t="s">
        <v>167</v>
      </c>
      <c r="J76" s="243">
        <v>3700.0</v>
      </c>
      <c r="K76" s="243">
        <v>581.2</v>
      </c>
      <c r="L76" s="246">
        <v>0.157</v>
      </c>
      <c r="M76" s="386"/>
      <c r="N76" s="235"/>
      <c r="O76" s="388"/>
      <c r="P76" s="388"/>
      <c r="Q76" s="388"/>
      <c r="R76" s="388"/>
      <c r="S76" s="388"/>
      <c r="T76" s="388"/>
      <c r="U76" s="388"/>
      <c r="V76" s="388"/>
      <c r="W76" s="388"/>
      <c r="X76" s="388"/>
      <c r="Y76" s="388"/>
      <c r="Z76" s="388"/>
    </row>
    <row r="77">
      <c r="A77" s="28"/>
    </row>
    <row r="78" ht="34.5" customHeight="1">
      <c r="A78" s="142"/>
      <c r="B78" s="261" t="s">
        <v>314</v>
      </c>
      <c r="C78" s="262"/>
      <c r="D78" s="262"/>
      <c r="E78" s="262"/>
      <c r="F78" s="262"/>
      <c r="G78" s="262"/>
      <c r="H78" s="262"/>
      <c r="I78" s="262"/>
      <c r="J78" s="262"/>
      <c r="K78" s="262"/>
      <c r="L78" s="262"/>
      <c r="M78" s="262"/>
      <c r="N78" s="263"/>
      <c r="O78" s="146"/>
      <c r="P78" s="146"/>
      <c r="Q78" s="146"/>
      <c r="R78" s="146"/>
      <c r="S78" s="146"/>
      <c r="T78" s="146"/>
      <c r="U78" s="146"/>
      <c r="V78" s="146"/>
      <c r="W78" s="146"/>
      <c r="X78" s="146"/>
      <c r="Y78" s="146"/>
      <c r="Z78" s="146"/>
    </row>
    <row r="79">
      <c r="A79" s="28"/>
      <c r="B79" s="264" t="s">
        <v>315</v>
      </c>
      <c r="C79" s="262"/>
      <c r="D79" s="262"/>
      <c r="E79" s="262"/>
      <c r="F79" s="262"/>
      <c r="G79" s="262"/>
      <c r="H79" s="262"/>
      <c r="I79" s="262"/>
      <c r="J79" s="262"/>
      <c r="K79" s="262"/>
      <c r="L79" s="262"/>
      <c r="M79" s="262"/>
      <c r="N79" s="263"/>
    </row>
    <row r="80">
      <c r="A80" s="28"/>
      <c r="B80" s="265" t="s">
        <v>316</v>
      </c>
      <c r="C80" s="266" t="s">
        <v>317</v>
      </c>
      <c r="D80" s="266" t="s">
        <v>318</v>
      </c>
      <c r="E80" s="267" t="s">
        <v>319</v>
      </c>
      <c r="F80" s="268" t="s">
        <v>320</v>
      </c>
      <c r="G80" s="269" t="s">
        <v>321</v>
      </c>
      <c r="H80" s="164"/>
      <c r="I80" s="270" t="s">
        <v>316</v>
      </c>
      <c r="J80" s="271" t="s">
        <v>317</v>
      </c>
      <c r="K80" s="271" t="s">
        <v>318</v>
      </c>
      <c r="L80" s="272" t="s">
        <v>319</v>
      </c>
      <c r="M80" s="273" t="s">
        <v>322</v>
      </c>
      <c r="N80" s="274" t="s">
        <v>323</v>
      </c>
    </row>
    <row r="81">
      <c r="A81" s="28"/>
      <c r="B81" s="275" t="s">
        <v>94</v>
      </c>
      <c r="C81" s="276" t="s">
        <v>324</v>
      </c>
      <c r="D81" s="277" t="s">
        <v>325</v>
      </c>
      <c r="E81" s="278">
        <v>3.0</v>
      </c>
      <c r="F81" s="279" t="str">
        <f t="shared" ref="F81:F89" si="2">IF(ISBLANK(E81),"— Belum diisi",IF(E81=1,"Sangat Tidak Sesuai",IF(E81=2,"Tidak Sesuai",IF(E81=3,"Cukup Sesuai",IF(E81=4,"Sesuai",IF(E81=5,"Sangat Sesuai","—"))))))</f>
        <v>Cukup Sesuai</v>
      </c>
      <c r="G81" s="280" t="s">
        <v>915</v>
      </c>
      <c r="H81" s="164"/>
      <c r="I81" s="281" t="s">
        <v>94</v>
      </c>
      <c r="J81" s="282" t="s">
        <v>324</v>
      </c>
      <c r="K81" s="283" t="s">
        <v>325</v>
      </c>
      <c r="L81" s="278">
        <v>3.0</v>
      </c>
      <c r="M81" s="285" t="str">
        <f t="shared" ref="M81:M89" si="3">IF(ISBLANK(L81),"— Belum diisi",IF(L81=1,"Sangat Tidak Sesuai",IF(L81=2,"Tidak Sesuai",IF(L81=3,"Cukup Sesuai",IF(L81=4,"Sesuai",IF(L81=5,"Sangat Sesuai","—"))))))</f>
        <v>Cukup Sesuai</v>
      </c>
      <c r="N81" s="280" t="s">
        <v>915</v>
      </c>
    </row>
    <row r="82">
      <c r="A82" s="28"/>
      <c r="B82" s="275" t="s">
        <v>95</v>
      </c>
      <c r="C82" s="286" t="s">
        <v>327</v>
      </c>
      <c r="D82" s="287" t="s">
        <v>328</v>
      </c>
      <c r="E82" s="278">
        <v>3.0</v>
      </c>
      <c r="F82" s="288" t="str">
        <f t="shared" si="2"/>
        <v>Cukup Sesuai</v>
      </c>
      <c r="G82" s="297"/>
      <c r="H82" s="164"/>
      <c r="I82" s="281" t="s">
        <v>95</v>
      </c>
      <c r="J82" s="286" t="s">
        <v>327</v>
      </c>
      <c r="K82" s="287" t="s">
        <v>328</v>
      </c>
      <c r="L82" s="278">
        <v>3.0</v>
      </c>
      <c r="M82" s="288" t="str">
        <f t="shared" si="3"/>
        <v>Cukup Sesuai</v>
      </c>
      <c r="N82" s="297"/>
    </row>
    <row r="83">
      <c r="A83" s="28"/>
      <c r="B83" s="275" t="s">
        <v>96</v>
      </c>
      <c r="C83" s="276" t="s">
        <v>330</v>
      </c>
      <c r="D83" s="277" t="s">
        <v>331</v>
      </c>
      <c r="E83" s="278">
        <v>3.0</v>
      </c>
      <c r="F83" s="279" t="str">
        <f t="shared" si="2"/>
        <v>Cukup Sesuai</v>
      </c>
      <c r="G83" s="297"/>
      <c r="H83" s="164"/>
      <c r="I83" s="281" t="s">
        <v>96</v>
      </c>
      <c r="J83" s="282" t="s">
        <v>330</v>
      </c>
      <c r="K83" s="289" t="s">
        <v>331</v>
      </c>
      <c r="L83" s="278">
        <v>3.0</v>
      </c>
      <c r="M83" s="290" t="str">
        <f t="shared" si="3"/>
        <v>Cukup Sesuai</v>
      </c>
      <c r="N83" s="297"/>
    </row>
    <row r="84">
      <c r="A84" s="28"/>
      <c r="B84" s="275" t="s">
        <v>97</v>
      </c>
      <c r="C84" s="286" t="s">
        <v>334</v>
      </c>
      <c r="D84" s="287" t="s">
        <v>335</v>
      </c>
      <c r="E84" s="278">
        <v>3.0</v>
      </c>
      <c r="F84" s="288" t="str">
        <f t="shared" si="2"/>
        <v>Cukup Sesuai</v>
      </c>
      <c r="G84" s="297"/>
      <c r="H84" s="164"/>
      <c r="I84" s="281" t="s">
        <v>97</v>
      </c>
      <c r="J84" s="286" t="s">
        <v>334</v>
      </c>
      <c r="K84" s="287" t="s">
        <v>335</v>
      </c>
      <c r="L84" s="278">
        <v>3.0</v>
      </c>
      <c r="M84" s="288" t="str">
        <f t="shared" si="3"/>
        <v>Cukup Sesuai</v>
      </c>
      <c r="N84" s="280" t="s">
        <v>964</v>
      </c>
    </row>
    <row r="85">
      <c r="A85" s="28"/>
      <c r="B85" s="275" t="s">
        <v>98</v>
      </c>
      <c r="C85" s="276" t="s">
        <v>336</v>
      </c>
      <c r="D85" s="277" t="s">
        <v>337</v>
      </c>
      <c r="E85" s="278">
        <v>3.0</v>
      </c>
      <c r="F85" s="279" t="str">
        <f t="shared" si="2"/>
        <v>Cukup Sesuai</v>
      </c>
      <c r="G85" s="280" t="s">
        <v>965</v>
      </c>
      <c r="H85" s="164"/>
      <c r="I85" s="281" t="s">
        <v>98</v>
      </c>
      <c r="J85" s="282" t="s">
        <v>336</v>
      </c>
      <c r="K85" s="289" t="s">
        <v>337</v>
      </c>
      <c r="L85" s="278">
        <v>3.0</v>
      </c>
      <c r="M85" s="290" t="str">
        <f t="shared" si="3"/>
        <v>Cukup Sesuai</v>
      </c>
      <c r="N85" s="297"/>
    </row>
    <row r="86">
      <c r="A86" s="28"/>
      <c r="B86" s="291" t="s">
        <v>99</v>
      </c>
      <c r="C86" s="286" t="s">
        <v>339</v>
      </c>
      <c r="D86" s="287" t="s">
        <v>340</v>
      </c>
      <c r="E86" s="278">
        <v>3.0</v>
      </c>
      <c r="F86" s="288" t="str">
        <f t="shared" si="2"/>
        <v>Cukup Sesuai</v>
      </c>
      <c r="G86" s="278" t="s">
        <v>966</v>
      </c>
      <c r="H86" s="164"/>
      <c r="I86" s="292" t="s">
        <v>99</v>
      </c>
      <c r="J86" s="286" t="s">
        <v>339</v>
      </c>
      <c r="K86" s="287" t="s">
        <v>340</v>
      </c>
      <c r="L86" s="278">
        <v>3.0</v>
      </c>
      <c r="M86" s="288" t="str">
        <f t="shared" si="3"/>
        <v>Cukup Sesuai</v>
      </c>
      <c r="N86" s="278" t="s">
        <v>966</v>
      </c>
    </row>
    <row r="87">
      <c r="A87" s="28"/>
      <c r="B87" s="293" t="s">
        <v>100</v>
      </c>
      <c r="C87" s="276" t="s">
        <v>343</v>
      </c>
      <c r="D87" s="277" t="s">
        <v>344</v>
      </c>
      <c r="E87" s="278">
        <v>3.0</v>
      </c>
      <c r="F87" s="279" t="str">
        <f t="shared" si="2"/>
        <v>Cukup Sesuai</v>
      </c>
      <c r="G87" s="280" t="s">
        <v>345</v>
      </c>
      <c r="H87" s="164"/>
      <c r="I87" s="294" t="s">
        <v>100</v>
      </c>
      <c r="J87" s="282" t="s">
        <v>343</v>
      </c>
      <c r="K87" s="289" t="s">
        <v>344</v>
      </c>
      <c r="L87" s="278">
        <v>3.0</v>
      </c>
      <c r="M87" s="290" t="str">
        <f t="shared" si="3"/>
        <v>Cukup Sesuai</v>
      </c>
      <c r="N87" s="280" t="s">
        <v>345</v>
      </c>
    </row>
    <row r="88">
      <c r="A88" s="28"/>
      <c r="B88" s="295" t="s">
        <v>101</v>
      </c>
      <c r="C88" s="286" t="s">
        <v>346</v>
      </c>
      <c r="D88" s="287" t="s">
        <v>347</v>
      </c>
      <c r="E88" s="278">
        <v>4.0</v>
      </c>
      <c r="F88" s="288" t="str">
        <f t="shared" si="2"/>
        <v>Sesuai</v>
      </c>
      <c r="G88" s="297"/>
      <c r="H88" s="164"/>
      <c r="I88" s="296" t="s">
        <v>101</v>
      </c>
      <c r="J88" s="286" t="s">
        <v>346</v>
      </c>
      <c r="K88" s="287" t="s">
        <v>347</v>
      </c>
      <c r="L88" s="278">
        <v>4.0</v>
      </c>
      <c r="M88" s="288" t="str">
        <f t="shared" si="3"/>
        <v>Sesuai</v>
      </c>
      <c r="N88" s="297"/>
    </row>
    <row r="89">
      <c r="A89" s="28"/>
      <c r="B89" s="298" t="s">
        <v>102</v>
      </c>
      <c r="C89" s="276" t="s">
        <v>349</v>
      </c>
      <c r="D89" s="277" t="s">
        <v>350</v>
      </c>
      <c r="E89" s="278">
        <v>4.0</v>
      </c>
      <c r="F89" s="279" t="str">
        <f t="shared" si="2"/>
        <v>Sesuai</v>
      </c>
      <c r="G89" s="297"/>
      <c r="H89" s="164"/>
      <c r="I89" s="299" t="s">
        <v>102</v>
      </c>
      <c r="J89" s="282" t="s">
        <v>349</v>
      </c>
      <c r="K89" s="289" t="s">
        <v>350</v>
      </c>
      <c r="L89" s="278">
        <v>4.0</v>
      </c>
      <c r="M89" s="290" t="str">
        <f t="shared" si="3"/>
        <v>Sesuai</v>
      </c>
      <c r="N89" s="297"/>
    </row>
    <row r="90">
      <c r="A90" s="28"/>
      <c r="B90" s="300" t="s">
        <v>351</v>
      </c>
      <c r="C90" s="301"/>
      <c r="D90" s="27"/>
      <c r="E90" s="302">
        <f>IFERROR(AVERAGE(E81,E82,E83,E84,E85,E86,E87,E88,E89),"—")</f>
        <v>3.222222222</v>
      </c>
      <c r="F90" s="303" t="str">
        <f>IF(ISNUMBER(E90),IF(E90&lt;2,"Sangat Tidak Sesuai",IF(E90&lt;3,"Tidak Sesuai",IF(E90&lt;4,"Cukup Sesuai",IF(E90&lt;4.6,"Sesuai","Sangat Sesuai")))),"—")</f>
        <v>Cukup Sesuai</v>
      </c>
      <c r="G90" s="3"/>
      <c r="H90" s="164"/>
      <c r="I90" s="304" t="s">
        <v>351</v>
      </c>
      <c r="J90" s="301"/>
      <c r="K90" s="27"/>
      <c r="L90" s="294">
        <f>IFERROR(AVERAGE(L81,L82,L83,L84,L85,L86,L87,L88,L89),"—")</f>
        <v>3.222222222</v>
      </c>
      <c r="M90" s="305" t="str">
        <f>IF(ISNUMBER(L90),IF(L90&lt;2,"Sangat Tidak Sesuai",IF(L90&lt;3,"Tidak Sesuai",IF(L90&lt;4,"Cukup Sesuai",IF(L90&lt;4.6,"Sesuai","Sangat Sesuai")))),"—")</f>
        <v>Cukup Sesuai</v>
      </c>
      <c r="N90" s="3"/>
    </row>
    <row r="91">
      <c r="A91" s="28"/>
      <c r="B91" s="306"/>
    </row>
    <row r="92" ht="34.5" customHeight="1">
      <c r="A92" s="142"/>
      <c r="B92" s="307" t="s">
        <v>352</v>
      </c>
      <c r="C92" s="170"/>
      <c r="D92" s="170"/>
      <c r="E92" s="170"/>
      <c r="F92" s="170"/>
      <c r="G92" s="170"/>
      <c r="H92" s="170"/>
      <c r="I92" s="170"/>
      <c r="J92" s="170"/>
      <c r="K92" s="170"/>
      <c r="L92" s="170"/>
      <c r="M92" s="170"/>
      <c r="N92" s="308"/>
      <c r="O92" s="146"/>
      <c r="P92" s="146"/>
      <c r="Q92" s="146"/>
      <c r="R92" s="146"/>
      <c r="S92" s="146"/>
      <c r="T92" s="146"/>
      <c r="U92" s="146"/>
      <c r="V92" s="146"/>
      <c r="W92" s="146"/>
      <c r="X92" s="146"/>
      <c r="Y92" s="146"/>
      <c r="Z92" s="146"/>
    </row>
    <row r="93" ht="24.75" customHeight="1">
      <c r="A93" s="147"/>
      <c r="B93" s="309" t="s">
        <v>353</v>
      </c>
      <c r="C93" s="310"/>
      <c r="D93" s="310"/>
      <c r="E93" s="310"/>
      <c r="F93" s="310"/>
      <c r="G93" s="311"/>
      <c r="H93" s="312"/>
      <c r="I93" s="313" t="s">
        <v>354</v>
      </c>
      <c r="J93" s="30"/>
      <c r="K93" s="30"/>
      <c r="L93" s="30"/>
      <c r="M93" s="30"/>
      <c r="N93" s="3"/>
      <c r="O93" s="153"/>
      <c r="P93" s="153"/>
      <c r="Q93" s="153"/>
      <c r="R93" s="153"/>
      <c r="S93" s="153"/>
      <c r="T93" s="153"/>
      <c r="U93" s="153"/>
      <c r="V93" s="153"/>
      <c r="W93" s="153"/>
      <c r="X93" s="153"/>
      <c r="Y93" s="153"/>
      <c r="Z93" s="153"/>
    </row>
    <row r="94">
      <c r="A94" s="28"/>
      <c r="B94" s="314" t="s">
        <v>355</v>
      </c>
      <c r="C94" s="315"/>
      <c r="D94" s="315"/>
      <c r="E94" s="315"/>
      <c r="F94" s="315"/>
      <c r="G94" s="316"/>
      <c r="H94" s="260"/>
      <c r="I94" s="317" t="s">
        <v>355</v>
      </c>
      <c r="J94" s="30"/>
      <c r="K94" s="30"/>
      <c r="L94" s="30"/>
      <c r="M94" s="30"/>
      <c r="N94" s="3"/>
    </row>
    <row r="95">
      <c r="A95" s="28"/>
      <c r="B95" s="318" t="s">
        <v>356</v>
      </c>
      <c r="H95" s="260"/>
      <c r="I95" s="319" t="s">
        <v>356</v>
      </c>
      <c r="J95" s="30"/>
      <c r="K95" s="30"/>
      <c r="L95" s="30"/>
      <c r="M95" s="30"/>
      <c r="N95" s="3"/>
    </row>
    <row r="96">
      <c r="A96" s="28"/>
      <c r="B96" s="320" t="s">
        <v>967</v>
      </c>
      <c r="G96" s="321"/>
      <c r="H96" s="322"/>
      <c r="I96" s="323" t="s">
        <v>967</v>
      </c>
      <c r="J96" s="324"/>
      <c r="K96" s="324"/>
      <c r="L96" s="324"/>
      <c r="M96" s="324"/>
      <c r="N96" s="325"/>
    </row>
    <row r="97">
      <c r="A97" s="28"/>
      <c r="B97" s="326"/>
      <c r="G97" s="321"/>
      <c r="H97" s="322"/>
      <c r="I97" s="327"/>
      <c r="N97" s="328"/>
    </row>
    <row r="98">
      <c r="A98" s="28"/>
      <c r="B98" s="326"/>
      <c r="G98" s="321"/>
      <c r="H98" s="322"/>
      <c r="I98" s="327"/>
      <c r="N98" s="328"/>
    </row>
    <row r="99">
      <c r="A99" s="28"/>
      <c r="B99" s="329"/>
      <c r="C99" s="330"/>
      <c r="D99" s="330"/>
      <c r="E99" s="330"/>
      <c r="F99" s="330"/>
      <c r="G99" s="331"/>
      <c r="H99" s="322"/>
      <c r="I99" s="332"/>
      <c r="J99" s="333"/>
      <c r="K99" s="333"/>
      <c r="L99" s="333"/>
      <c r="M99" s="333"/>
      <c r="N99" s="334"/>
    </row>
    <row r="100">
      <c r="A100" s="28"/>
      <c r="B100" s="28"/>
      <c r="C100" s="28"/>
      <c r="D100" s="28"/>
      <c r="E100" s="28"/>
      <c r="F100" s="28"/>
      <c r="G100" s="28"/>
    </row>
    <row r="101">
      <c r="A101" s="28"/>
      <c r="B101" s="335" t="s">
        <v>358</v>
      </c>
      <c r="C101" s="144"/>
      <c r="D101" s="144"/>
      <c r="E101" s="144"/>
      <c r="F101" s="144"/>
      <c r="G101" s="145"/>
      <c r="H101" s="164"/>
      <c r="I101" s="336" t="s">
        <v>358</v>
      </c>
      <c r="J101" s="30"/>
      <c r="K101" s="30"/>
      <c r="L101" s="30"/>
      <c r="M101" s="30"/>
      <c r="N101" s="3"/>
    </row>
    <row r="102">
      <c r="A102" s="28"/>
      <c r="B102" s="337" t="s">
        <v>359</v>
      </c>
      <c r="H102" s="260"/>
      <c r="I102" s="338" t="s">
        <v>359</v>
      </c>
      <c r="J102" s="30"/>
      <c r="K102" s="30"/>
      <c r="L102" s="30"/>
      <c r="M102" s="30"/>
      <c r="N102" s="3"/>
    </row>
    <row r="103">
      <c r="A103" s="28"/>
      <c r="B103" s="339" t="s">
        <v>613</v>
      </c>
      <c r="G103" s="328"/>
      <c r="H103" s="340"/>
      <c r="I103" s="341" t="s">
        <v>613</v>
      </c>
      <c r="J103" s="324"/>
      <c r="K103" s="324"/>
      <c r="L103" s="324"/>
      <c r="M103" s="324"/>
      <c r="N103" s="325"/>
    </row>
    <row r="104">
      <c r="A104" s="28"/>
      <c r="B104" s="342"/>
      <c r="G104" s="328"/>
      <c r="H104" s="340"/>
      <c r="I104" s="327"/>
      <c r="N104" s="328"/>
    </row>
    <row r="105">
      <c r="A105" s="28"/>
      <c r="B105" s="342"/>
      <c r="G105" s="328"/>
      <c r="H105" s="340"/>
      <c r="I105" s="327"/>
      <c r="N105" s="328"/>
    </row>
    <row r="106">
      <c r="A106" s="28"/>
      <c r="B106" s="343"/>
      <c r="C106" s="163"/>
      <c r="D106" s="163"/>
      <c r="E106" s="163"/>
      <c r="F106" s="163"/>
      <c r="G106" s="344"/>
      <c r="H106" s="340"/>
      <c r="I106" s="332"/>
      <c r="J106" s="333"/>
      <c r="K106" s="333"/>
      <c r="L106" s="333"/>
      <c r="M106" s="333"/>
      <c r="N106" s="334"/>
    </row>
    <row r="107">
      <c r="A107" s="28"/>
    </row>
    <row r="108">
      <c r="A108" s="28"/>
      <c r="B108" s="345" t="s">
        <v>361</v>
      </c>
      <c r="C108" s="30"/>
      <c r="D108" s="30"/>
      <c r="E108" s="30"/>
      <c r="F108" s="30"/>
      <c r="G108" s="3"/>
      <c r="H108" s="164"/>
      <c r="I108" s="346" t="s">
        <v>361</v>
      </c>
      <c r="J108" s="30"/>
      <c r="K108" s="30"/>
      <c r="L108" s="30"/>
      <c r="M108" s="30"/>
      <c r="N108" s="3"/>
    </row>
    <row r="109">
      <c r="A109" s="28"/>
      <c r="B109" s="347" t="s">
        <v>362</v>
      </c>
      <c r="C109" s="30"/>
      <c r="D109" s="30"/>
      <c r="E109" s="30"/>
      <c r="F109" s="30"/>
      <c r="G109" s="3"/>
      <c r="H109" s="164"/>
      <c r="I109" s="348" t="s">
        <v>362</v>
      </c>
      <c r="J109" s="30"/>
      <c r="K109" s="30"/>
      <c r="L109" s="30"/>
      <c r="M109" s="30"/>
      <c r="N109" s="3"/>
    </row>
    <row r="110">
      <c r="A110" s="28"/>
      <c r="B110" s="349" t="s">
        <v>363</v>
      </c>
      <c r="C110" s="324"/>
      <c r="D110" s="324"/>
      <c r="E110" s="324"/>
      <c r="F110" s="324"/>
      <c r="G110" s="325"/>
      <c r="H110" s="340"/>
      <c r="I110" s="350" t="s">
        <v>363</v>
      </c>
      <c r="J110" s="324"/>
      <c r="K110" s="324"/>
      <c r="L110" s="324"/>
      <c r="M110" s="324"/>
      <c r="N110" s="325"/>
    </row>
    <row r="111">
      <c r="A111" s="28"/>
      <c r="B111" s="327"/>
      <c r="G111" s="328"/>
      <c r="H111" s="340"/>
      <c r="I111" s="327"/>
      <c r="N111" s="328"/>
    </row>
    <row r="112">
      <c r="A112" s="28"/>
      <c r="B112" s="327"/>
      <c r="G112" s="328"/>
      <c r="H112" s="340"/>
      <c r="I112" s="327"/>
      <c r="N112" s="328"/>
    </row>
    <row r="113">
      <c r="A113" s="28"/>
      <c r="B113" s="332"/>
      <c r="C113" s="333"/>
      <c r="D113" s="333"/>
      <c r="E113" s="333"/>
      <c r="F113" s="333"/>
      <c r="G113" s="334"/>
      <c r="H113" s="340"/>
      <c r="I113" s="332"/>
      <c r="J113" s="333"/>
      <c r="K113" s="333"/>
      <c r="L113" s="333"/>
      <c r="M113" s="333"/>
      <c r="N113" s="334"/>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sheetData>
  <mergeCells count="133">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4:G64"/>
    <mergeCell ref="F72:G72"/>
    <mergeCell ref="F73:G73"/>
    <mergeCell ref="F74:G74"/>
    <mergeCell ref="F75:G75"/>
    <mergeCell ref="F76:G76"/>
    <mergeCell ref="F65:G65"/>
    <mergeCell ref="F66:G66"/>
    <mergeCell ref="F67:G67"/>
    <mergeCell ref="F68:G68"/>
    <mergeCell ref="F69:G69"/>
    <mergeCell ref="F70:G70"/>
    <mergeCell ref="F71:G71"/>
    <mergeCell ref="M49:N49"/>
    <mergeCell ref="M50:N50"/>
    <mergeCell ref="M51:N51"/>
    <mergeCell ref="M52:N52"/>
    <mergeCell ref="M53:N53"/>
    <mergeCell ref="M54:N54"/>
    <mergeCell ref="M55:N55"/>
    <mergeCell ref="M56:N56"/>
    <mergeCell ref="M57:N57"/>
    <mergeCell ref="M58:N58"/>
    <mergeCell ref="M59:N59"/>
    <mergeCell ref="M60:N60"/>
    <mergeCell ref="B62:N62"/>
    <mergeCell ref="B63:G63"/>
    <mergeCell ref="I63:N63"/>
    <mergeCell ref="M64:N64"/>
    <mergeCell ref="M65:N65"/>
    <mergeCell ref="M66:N66"/>
    <mergeCell ref="M67:N67"/>
    <mergeCell ref="M68:N68"/>
    <mergeCell ref="M69:N69"/>
    <mergeCell ref="M70:N70"/>
    <mergeCell ref="M71:N71"/>
    <mergeCell ref="M72:N72"/>
    <mergeCell ref="M73:N73"/>
    <mergeCell ref="M74:N74"/>
    <mergeCell ref="M75:N75"/>
    <mergeCell ref="M76:N76"/>
    <mergeCell ref="B78:N78"/>
    <mergeCell ref="B79:N79"/>
    <mergeCell ref="B90:D90"/>
    <mergeCell ref="F90:G90"/>
    <mergeCell ref="I90:K90"/>
    <mergeCell ref="M90:N90"/>
    <mergeCell ref="B92:N92"/>
    <mergeCell ref="B96:G99"/>
    <mergeCell ref="B101:G101"/>
    <mergeCell ref="B102:G102"/>
    <mergeCell ref="B103:G106"/>
    <mergeCell ref="B108:G108"/>
    <mergeCell ref="B109:G109"/>
    <mergeCell ref="B110:G113"/>
    <mergeCell ref="I101:N101"/>
    <mergeCell ref="I102:N102"/>
    <mergeCell ref="I103:N106"/>
    <mergeCell ref="I108:N108"/>
    <mergeCell ref="I109:N109"/>
    <mergeCell ref="I110:N113"/>
    <mergeCell ref="B93:G93"/>
    <mergeCell ref="I93:N93"/>
    <mergeCell ref="B94:G94"/>
    <mergeCell ref="I94:N94"/>
    <mergeCell ref="B95:G95"/>
    <mergeCell ref="I95:N95"/>
    <mergeCell ref="I96:N99"/>
    <mergeCell ref="I15:N15"/>
    <mergeCell ref="M16:N16"/>
    <mergeCell ref="B2:N2"/>
    <mergeCell ref="B3:N3"/>
    <mergeCell ref="B5:C5"/>
    <mergeCell ref="D5:E5"/>
    <mergeCell ref="B14:N14"/>
    <mergeCell ref="B15:G15"/>
    <mergeCell ref="F16:G16"/>
    <mergeCell ref="F21:G21"/>
    <mergeCell ref="F22:G22"/>
    <mergeCell ref="F23:G23"/>
    <mergeCell ref="F25:G25"/>
    <mergeCell ref="F26:G26"/>
    <mergeCell ref="F27:G27"/>
    <mergeCell ref="F29:G29"/>
    <mergeCell ref="F33:G33"/>
    <mergeCell ref="F17:G17"/>
    <mergeCell ref="M17:N17"/>
    <mergeCell ref="F18:G18"/>
    <mergeCell ref="M18:N18"/>
    <mergeCell ref="F19:G19"/>
    <mergeCell ref="M19:N19"/>
    <mergeCell ref="M21:N21"/>
    <mergeCell ref="M22:N22"/>
    <mergeCell ref="M23:N23"/>
    <mergeCell ref="M25:N25"/>
    <mergeCell ref="M26:N26"/>
    <mergeCell ref="M27:N27"/>
    <mergeCell ref="M29:N29"/>
    <mergeCell ref="B31:N31"/>
    <mergeCell ref="B32:G32"/>
    <mergeCell ref="I32:N32"/>
    <mergeCell ref="M33:N33"/>
    <mergeCell ref="B39:N39"/>
    <mergeCell ref="B40:G40"/>
    <mergeCell ref="I40:N40"/>
    <mergeCell ref="M41:N41"/>
    <mergeCell ref="M42:N42"/>
    <mergeCell ref="M43:N43"/>
    <mergeCell ref="M44:N44"/>
    <mergeCell ref="M45:N45"/>
    <mergeCell ref="M46:N46"/>
    <mergeCell ref="M47:N47"/>
    <mergeCell ref="M48:N48"/>
  </mergeCells>
  <conditionalFormatting sqref="E42:E60 L42:L60 E65:E76 L65:L76">
    <cfRule type="cellIs" dxfId="2" priority="1" operator="greaterThan">
      <formula>"100%"</formula>
    </cfRule>
  </conditionalFormatting>
  <conditionalFormatting sqref="E42:E60 L42:L60 E65:E76 L65:L76">
    <cfRule type="cellIs" dxfId="1" priority="2" operator="lessThan">
      <formula>"100%"</formula>
    </cfRule>
  </conditionalFormatting>
  <conditionalFormatting sqref="L42:L60 L65:L76">
    <cfRule type="cellIs" dxfId="0" priority="3" operator="equal">
      <formula>"100%"</formula>
    </cfRule>
  </conditionalFormatting>
  <conditionalFormatting sqref="E42:E60 E65:E76">
    <cfRule type="cellIs" dxfId="3" priority="4" operator="equal">
      <formula>"100%"</formula>
    </cfRule>
  </conditionalFormatting>
  <conditionalFormatting sqref="E65:E76">
    <cfRule type="cellIs" dxfId="3" priority="5" operator="equal">
      <formula>"100%"</formula>
    </cfRule>
  </conditionalFormatting>
  <dataValidations>
    <dataValidation type="list" allowBlank="1" showInputMessage="1" showErrorMessage="1" prompt="Nilai Tidak Valid - Silakan pilih nilai 1–5 dari dropdown." sqref="E81:E89 L81:L89">
      <formula1>"1,2,3,4,5"</formula1>
    </dataValidation>
  </dataValidation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0"/>
    <col customWidth="1" min="2" max="2" width="26.0"/>
    <col customWidth="1" min="3" max="3" width="27.0"/>
    <col customWidth="1" min="4" max="4" width="22.0"/>
    <col customWidth="1" min="5" max="5" width="27.0"/>
    <col customWidth="1" min="6" max="6" width="18.0"/>
    <col customWidth="1" min="7" max="7" width="21.0"/>
    <col customWidth="1" min="8" max="8" width="5.86"/>
    <col customWidth="1" min="9" max="9" width="25.14"/>
    <col customWidth="1" min="10" max="10" width="15.86"/>
    <col customWidth="1" min="11" max="11" width="21.14"/>
    <col customWidth="1" min="12" max="12" width="19.43"/>
    <col customWidth="1" min="14" max="14" width="23.29"/>
  </cols>
  <sheetData>
    <row r="1">
      <c r="A1" s="28"/>
      <c r="B1" s="28"/>
      <c r="C1" s="28"/>
      <c r="D1" s="28"/>
      <c r="E1" s="28"/>
      <c r="F1" s="28"/>
      <c r="G1" s="28"/>
    </row>
    <row r="2" ht="29.25" customHeight="1">
      <c r="A2" s="28"/>
      <c r="B2" s="352" t="s">
        <v>968</v>
      </c>
      <c r="C2" s="30"/>
      <c r="D2" s="30"/>
      <c r="E2" s="30"/>
      <c r="F2" s="30"/>
      <c r="G2" s="30"/>
      <c r="H2" s="30"/>
      <c r="I2" s="30"/>
      <c r="J2" s="30"/>
      <c r="K2" s="30"/>
      <c r="L2" s="30"/>
      <c r="M2" s="30"/>
      <c r="N2" s="3"/>
    </row>
    <row r="3">
      <c r="A3" s="28"/>
      <c r="B3" s="469" t="s">
        <v>969</v>
      </c>
      <c r="C3" s="30"/>
      <c r="D3" s="30"/>
      <c r="E3" s="30"/>
      <c r="F3" s="30"/>
      <c r="G3" s="30"/>
      <c r="H3" s="30"/>
      <c r="I3" s="30"/>
      <c r="J3" s="30"/>
      <c r="K3" s="30"/>
      <c r="L3" s="30"/>
      <c r="M3" s="30"/>
      <c r="N3" s="3"/>
    </row>
    <row r="4">
      <c r="A4" s="28"/>
      <c r="B4" s="28"/>
      <c r="C4" s="28"/>
      <c r="D4" s="28"/>
      <c r="E4" s="28"/>
      <c r="F4" s="28"/>
      <c r="G4" s="28"/>
    </row>
    <row r="5" ht="30.0" customHeight="1">
      <c r="A5" s="142"/>
      <c r="B5" s="134" t="s">
        <v>146</v>
      </c>
      <c r="C5" s="27"/>
      <c r="D5" s="134" t="s">
        <v>147</v>
      </c>
      <c r="E5" s="27"/>
      <c r="F5" s="142"/>
      <c r="G5" s="142"/>
      <c r="H5" s="146"/>
      <c r="I5" s="146"/>
      <c r="J5" s="146"/>
      <c r="K5" s="146"/>
      <c r="L5" s="146"/>
      <c r="M5" s="146"/>
      <c r="N5" s="146"/>
      <c r="O5" s="146"/>
      <c r="P5" s="146"/>
      <c r="Q5" s="146"/>
      <c r="R5" s="146"/>
      <c r="S5" s="146"/>
      <c r="T5" s="146"/>
      <c r="U5" s="146"/>
      <c r="V5" s="146"/>
      <c r="W5" s="146"/>
      <c r="X5" s="146"/>
      <c r="Y5" s="146"/>
      <c r="Z5" s="146"/>
    </row>
    <row r="6">
      <c r="A6" s="28"/>
      <c r="B6" s="135" t="s">
        <v>148</v>
      </c>
      <c r="C6" s="463">
        <v>34.0</v>
      </c>
      <c r="D6" s="135" t="s">
        <v>149</v>
      </c>
      <c r="E6" s="138" t="s">
        <v>872</v>
      </c>
      <c r="F6" s="28"/>
      <c r="G6" s="28"/>
    </row>
    <row r="7">
      <c r="A7" s="28"/>
      <c r="B7" s="139" t="s">
        <v>150</v>
      </c>
      <c r="C7" s="463" t="s">
        <v>151</v>
      </c>
      <c r="D7" s="139" t="s">
        <v>152</v>
      </c>
      <c r="E7" s="138" t="s">
        <v>873</v>
      </c>
      <c r="F7" s="28"/>
      <c r="G7" s="28"/>
    </row>
    <row r="8">
      <c r="A8" s="28"/>
      <c r="B8" s="135" t="s">
        <v>154</v>
      </c>
      <c r="C8" s="463">
        <v>51.0</v>
      </c>
      <c r="D8" s="135" t="s">
        <v>155</v>
      </c>
      <c r="E8" s="138" t="s">
        <v>970</v>
      </c>
      <c r="F8" s="28"/>
      <c r="G8" s="28"/>
    </row>
    <row r="9">
      <c r="A9" s="28"/>
      <c r="B9" s="139" t="s">
        <v>157</v>
      </c>
      <c r="C9" s="463">
        <v>178.0</v>
      </c>
      <c r="D9" s="139" t="s">
        <v>158</v>
      </c>
      <c r="E9" s="138" t="s">
        <v>971</v>
      </c>
      <c r="F9" s="28"/>
      <c r="G9" s="28"/>
    </row>
    <row r="10">
      <c r="A10" s="28"/>
      <c r="B10" s="135" t="s">
        <v>160</v>
      </c>
      <c r="C10" s="463" t="s">
        <v>876</v>
      </c>
      <c r="D10" s="135" t="s">
        <v>162</v>
      </c>
      <c r="E10" s="138" t="s">
        <v>972</v>
      </c>
      <c r="F10" s="28"/>
      <c r="G10" s="28"/>
    </row>
    <row r="11">
      <c r="A11" s="28"/>
      <c r="B11" s="139" t="s">
        <v>93</v>
      </c>
      <c r="C11" s="463" t="s">
        <v>973</v>
      </c>
      <c r="D11" s="139" t="s">
        <v>165</v>
      </c>
      <c r="E11" s="138" t="s">
        <v>974</v>
      </c>
      <c r="F11" s="28"/>
      <c r="G11" s="28"/>
    </row>
    <row r="12">
      <c r="A12" s="28"/>
      <c r="B12" s="141"/>
      <c r="C12" s="141"/>
      <c r="D12" s="135" t="s">
        <v>167</v>
      </c>
      <c r="E12" s="138" t="s">
        <v>168</v>
      </c>
      <c r="F12" s="28"/>
      <c r="G12" s="28"/>
    </row>
    <row r="13">
      <c r="A13" s="28"/>
      <c r="B13" s="28"/>
      <c r="C13" s="28"/>
      <c r="D13" s="28"/>
      <c r="E13" s="28"/>
      <c r="F13" s="28"/>
      <c r="G13" s="28"/>
    </row>
    <row r="14" ht="30.0" customHeight="1">
      <c r="A14" s="142"/>
      <c r="B14" s="143" t="s">
        <v>169</v>
      </c>
      <c r="C14" s="144"/>
      <c r="D14" s="144"/>
      <c r="E14" s="144"/>
      <c r="F14" s="144"/>
      <c r="G14" s="144"/>
      <c r="H14" s="144"/>
      <c r="I14" s="144"/>
      <c r="J14" s="144"/>
      <c r="K14" s="144"/>
      <c r="L14" s="144"/>
      <c r="M14" s="144"/>
      <c r="N14" s="145"/>
      <c r="O14" s="146"/>
      <c r="P14" s="146"/>
      <c r="Q14" s="146"/>
      <c r="R14" s="146"/>
      <c r="S14" s="146"/>
      <c r="T14" s="146"/>
      <c r="U14" s="146"/>
      <c r="V14" s="146"/>
      <c r="W14" s="146"/>
      <c r="X14" s="146"/>
      <c r="Y14" s="146"/>
      <c r="Z14" s="146"/>
    </row>
    <row r="15" ht="27.75" customHeight="1">
      <c r="A15" s="407"/>
      <c r="B15" s="428" t="s">
        <v>170</v>
      </c>
      <c r="C15" s="149"/>
      <c r="D15" s="149"/>
      <c r="E15" s="149"/>
      <c r="F15" s="149"/>
      <c r="G15" s="150"/>
      <c r="H15" s="429"/>
      <c r="I15" s="430" t="s">
        <v>171</v>
      </c>
      <c r="J15" s="149"/>
      <c r="K15" s="149"/>
      <c r="L15" s="149"/>
      <c r="M15" s="149"/>
      <c r="N15" s="150"/>
      <c r="O15" s="409"/>
      <c r="P15" s="409"/>
      <c r="Q15" s="409"/>
      <c r="R15" s="409"/>
      <c r="S15" s="409"/>
      <c r="T15" s="409"/>
      <c r="U15" s="409"/>
      <c r="V15" s="409"/>
      <c r="W15" s="409"/>
      <c r="X15" s="409"/>
      <c r="Y15" s="409"/>
      <c r="Z15" s="409"/>
    </row>
    <row r="16">
      <c r="A16" s="28"/>
      <c r="B16" s="154" t="s">
        <v>172</v>
      </c>
      <c r="C16" s="154" t="s">
        <v>173</v>
      </c>
      <c r="D16" s="154" t="s">
        <v>174</v>
      </c>
      <c r="E16" s="154" t="s">
        <v>175</v>
      </c>
      <c r="F16" s="155" t="s">
        <v>371</v>
      </c>
      <c r="G16" s="150"/>
      <c r="H16" s="156"/>
      <c r="I16" s="157" t="s">
        <v>172</v>
      </c>
      <c r="J16" s="157" t="s">
        <v>173</v>
      </c>
      <c r="K16" s="157" t="s">
        <v>174</v>
      </c>
      <c r="L16" s="157" t="s">
        <v>175</v>
      </c>
      <c r="M16" s="158" t="s">
        <v>371</v>
      </c>
      <c r="N16" s="150"/>
    </row>
    <row r="17">
      <c r="A17" s="28"/>
      <c r="B17" s="159" t="s">
        <v>176</v>
      </c>
      <c r="C17" s="165" t="s">
        <v>975</v>
      </c>
      <c r="D17" s="160">
        <v>190.0</v>
      </c>
      <c r="E17" s="161">
        <v>706.8</v>
      </c>
      <c r="F17" s="354"/>
      <c r="G17" s="163"/>
      <c r="H17" s="164"/>
      <c r="I17" s="159" t="s">
        <v>176</v>
      </c>
      <c r="J17" s="160" t="s">
        <v>621</v>
      </c>
      <c r="K17" s="160" t="s">
        <v>220</v>
      </c>
      <c r="L17" s="161" t="s">
        <v>976</v>
      </c>
      <c r="M17" s="162" t="s">
        <v>977</v>
      </c>
      <c r="N17" s="163"/>
    </row>
    <row r="18">
      <c r="A18" s="28"/>
      <c r="B18" s="166" t="s">
        <v>183</v>
      </c>
      <c r="C18" s="171" t="s">
        <v>978</v>
      </c>
      <c r="D18" s="167">
        <v>130.0</v>
      </c>
      <c r="E18" s="168">
        <v>93.6</v>
      </c>
      <c r="F18" s="169" t="s">
        <v>979</v>
      </c>
      <c r="G18" s="170"/>
      <c r="H18" s="164"/>
      <c r="I18" s="166" t="s">
        <v>183</v>
      </c>
      <c r="J18" s="167" t="s">
        <v>207</v>
      </c>
      <c r="K18" s="167" t="s">
        <v>980</v>
      </c>
      <c r="L18" s="168">
        <v>208.0</v>
      </c>
      <c r="M18" s="172"/>
      <c r="N18" s="170"/>
    </row>
    <row r="19">
      <c r="A19" s="28"/>
      <c r="B19" s="173" t="s">
        <v>190</v>
      </c>
      <c r="C19" s="171" t="s">
        <v>981</v>
      </c>
      <c r="D19" s="167">
        <v>100.0</v>
      </c>
      <c r="E19" s="168">
        <v>63.0</v>
      </c>
      <c r="F19" s="172"/>
      <c r="G19" s="170"/>
      <c r="H19" s="164"/>
      <c r="I19" s="173" t="s">
        <v>190</v>
      </c>
      <c r="J19" s="167" t="s">
        <v>382</v>
      </c>
      <c r="K19" s="167" t="s">
        <v>231</v>
      </c>
      <c r="L19" s="168" t="s">
        <v>744</v>
      </c>
      <c r="M19" s="172"/>
      <c r="N19" s="170"/>
    </row>
    <row r="20">
      <c r="A20" s="28"/>
      <c r="B20" s="174"/>
      <c r="C20" s="176"/>
      <c r="D20" s="175"/>
      <c r="E20" s="175"/>
      <c r="F20" s="176"/>
      <c r="G20" s="176"/>
      <c r="H20" s="164"/>
      <c r="I20" s="174"/>
      <c r="J20" s="175"/>
      <c r="K20" s="175"/>
      <c r="L20" s="175"/>
      <c r="M20" s="176"/>
      <c r="N20" s="176"/>
    </row>
    <row r="21">
      <c r="A21" s="28"/>
      <c r="B21" s="177" t="s">
        <v>196</v>
      </c>
      <c r="C21" s="171" t="s">
        <v>982</v>
      </c>
      <c r="D21" s="167">
        <v>200.0</v>
      </c>
      <c r="E21" s="168">
        <v>670.0</v>
      </c>
      <c r="F21" s="169" t="s">
        <v>983</v>
      </c>
      <c r="G21" s="170"/>
      <c r="H21" s="164"/>
      <c r="I21" s="177" t="s">
        <v>196</v>
      </c>
      <c r="J21" s="167" t="s">
        <v>984</v>
      </c>
      <c r="K21" s="167" t="s">
        <v>523</v>
      </c>
      <c r="L21" s="168" t="s">
        <v>985</v>
      </c>
      <c r="M21" s="162" t="s">
        <v>986</v>
      </c>
      <c r="N21" s="163"/>
    </row>
    <row r="22">
      <c r="A22" s="28"/>
      <c r="B22" s="178" t="s">
        <v>203</v>
      </c>
      <c r="C22" s="171" t="s">
        <v>987</v>
      </c>
      <c r="D22" s="167">
        <v>344.0</v>
      </c>
      <c r="E22" s="168">
        <v>96.3</v>
      </c>
      <c r="F22" s="169" t="s">
        <v>685</v>
      </c>
      <c r="G22" s="170"/>
      <c r="H22" s="164"/>
      <c r="I22" s="178" t="s">
        <v>203</v>
      </c>
      <c r="J22" s="167" t="s">
        <v>988</v>
      </c>
      <c r="K22" s="167" t="s">
        <v>390</v>
      </c>
      <c r="L22" s="168" t="s">
        <v>989</v>
      </c>
      <c r="M22" s="172"/>
      <c r="N22" s="170"/>
    </row>
    <row r="23">
      <c r="A23" s="28"/>
      <c r="B23" s="177" t="s">
        <v>211</v>
      </c>
      <c r="C23" s="171" t="s">
        <v>990</v>
      </c>
      <c r="D23" s="167">
        <v>236.0</v>
      </c>
      <c r="E23" s="168">
        <v>103.8</v>
      </c>
      <c r="F23" s="172"/>
      <c r="G23" s="170"/>
      <c r="H23" s="164"/>
      <c r="I23" s="177" t="s">
        <v>211</v>
      </c>
      <c r="J23" s="167" t="s">
        <v>897</v>
      </c>
      <c r="K23" s="167" t="s">
        <v>991</v>
      </c>
      <c r="L23" s="168" t="s">
        <v>992</v>
      </c>
      <c r="M23" s="172"/>
      <c r="N23" s="170"/>
    </row>
    <row r="24">
      <c r="A24" s="28"/>
      <c r="B24" s="174"/>
      <c r="C24" s="176"/>
      <c r="D24" s="175"/>
      <c r="E24" s="175"/>
      <c r="F24" s="176"/>
      <c r="G24" s="176"/>
      <c r="H24" s="164"/>
      <c r="I24" s="174"/>
      <c r="J24" s="175"/>
      <c r="K24" s="175"/>
      <c r="L24" s="175"/>
      <c r="M24" s="176"/>
      <c r="N24" s="176"/>
    </row>
    <row r="25">
      <c r="A25" s="28"/>
      <c r="B25" s="179" t="s">
        <v>216</v>
      </c>
      <c r="C25" s="171" t="s">
        <v>993</v>
      </c>
      <c r="D25" s="167">
        <v>150.0</v>
      </c>
      <c r="E25" s="168">
        <v>435.0</v>
      </c>
      <c r="F25" s="172"/>
      <c r="G25" s="170"/>
      <c r="H25" s="164"/>
      <c r="I25" s="179" t="s">
        <v>216</v>
      </c>
      <c r="J25" s="167" t="s">
        <v>975</v>
      </c>
      <c r="K25" s="167" t="s">
        <v>994</v>
      </c>
      <c r="L25" s="168">
        <v>465.0</v>
      </c>
      <c r="M25" s="172"/>
      <c r="N25" s="170"/>
    </row>
    <row r="26">
      <c r="A26" s="28"/>
      <c r="B26" s="180" t="s">
        <v>223</v>
      </c>
      <c r="C26" s="171" t="s">
        <v>995</v>
      </c>
      <c r="D26" s="167">
        <v>152.0</v>
      </c>
      <c r="E26" s="168">
        <v>562.4</v>
      </c>
      <c r="F26" s="172"/>
      <c r="G26" s="170"/>
      <c r="H26" s="164"/>
      <c r="I26" s="180" t="s">
        <v>223</v>
      </c>
      <c r="J26" s="167" t="s">
        <v>996</v>
      </c>
      <c r="K26" s="167" t="s">
        <v>511</v>
      </c>
      <c r="L26" s="168" t="s">
        <v>997</v>
      </c>
      <c r="M26" s="172"/>
      <c r="N26" s="170"/>
    </row>
    <row r="27">
      <c r="A27" s="28"/>
      <c r="B27" s="179" t="s">
        <v>229</v>
      </c>
      <c r="C27" s="171" t="s">
        <v>998</v>
      </c>
      <c r="D27" s="167">
        <v>101.0</v>
      </c>
      <c r="E27" s="168">
        <v>31.3</v>
      </c>
      <c r="F27" s="172"/>
      <c r="G27" s="170"/>
      <c r="H27" s="164"/>
      <c r="I27" s="179" t="s">
        <v>229</v>
      </c>
      <c r="J27" s="167" t="s">
        <v>382</v>
      </c>
      <c r="K27" s="167" t="s">
        <v>999</v>
      </c>
      <c r="L27" s="168" t="s">
        <v>1000</v>
      </c>
      <c r="M27" s="172"/>
      <c r="N27" s="170"/>
    </row>
    <row r="28">
      <c r="A28" s="28"/>
      <c r="B28" s="174"/>
      <c r="C28" s="176"/>
      <c r="D28" s="175"/>
      <c r="E28" s="175"/>
      <c r="F28" s="176"/>
      <c r="G28" s="176"/>
      <c r="H28" s="164"/>
      <c r="I28" s="174"/>
      <c r="J28" s="175"/>
      <c r="K28" s="175"/>
      <c r="L28" s="175"/>
      <c r="M28" s="176"/>
      <c r="N28" s="176"/>
    </row>
    <row r="29">
      <c r="A29" s="28"/>
      <c r="B29" s="181" t="s">
        <v>234</v>
      </c>
      <c r="C29" s="171" t="s">
        <v>1001</v>
      </c>
      <c r="D29" s="167">
        <v>154.0</v>
      </c>
      <c r="E29" s="168">
        <v>345.0</v>
      </c>
      <c r="F29" s="172"/>
      <c r="G29" s="170"/>
      <c r="H29" s="164"/>
      <c r="I29" s="181" t="s">
        <v>234</v>
      </c>
      <c r="J29" s="167" t="s">
        <v>1002</v>
      </c>
      <c r="K29" s="167" t="s">
        <v>239</v>
      </c>
      <c r="L29" s="168" t="s">
        <v>1003</v>
      </c>
      <c r="M29" s="172"/>
      <c r="N29" s="170"/>
    </row>
    <row r="30">
      <c r="A30" s="28"/>
      <c r="F30" s="28"/>
      <c r="G30" s="28"/>
    </row>
    <row r="31" ht="30.0" customHeight="1">
      <c r="A31" s="142"/>
      <c r="B31" s="182" t="s">
        <v>241</v>
      </c>
      <c r="C31" s="183"/>
      <c r="D31" s="183"/>
      <c r="E31" s="183"/>
      <c r="F31" s="183"/>
      <c r="G31" s="183"/>
      <c r="H31" s="183"/>
      <c r="I31" s="183"/>
      <c r="J31" s="183"/>
      <c r="K31" s="183"/>
      <c r="L31" s="183"/>
      <c r="M31" s="183"/>
      <c r="N31" s="184"/>
      <c r="O31" s="146"/>
      <c r="P31" s="146"/>
      <c r="Q31" s="146"/>
      <c r="R31" s="146"/>
      <c r="S31" s="146"/>
      <c r="T31" s="146"/>
      <c r="U31" s="146"/>
      <c r="V31" s="146"/>
      <c r="W31" s="146"/>
      <c r="X31" s="146"/>
      <c r="Y31" s="146"/>
      <c r="Z31" s="146"/>
    </row>
    <row r="32" ht="27.75" customHeight="1">
      <c r="A32" s="407"/>
      <c r="B32" s="432" t="s">
        <v>408</v>
      </c>
      <c r="C32" s="235"/>
      <c r="D32" s="235"/>
      <c r="E32" s="235"/>
      <c r="F32" s="235"/>
      <c r="G32" s="236"/>
      <c r="H32" s="433"/>
      <c r="I32" s="430" t="s">
        <v>242</v>
      </c>
      <c r="J32" s="149"/>
      <c r="K32" s="149"/>
      <c r="L32" s="149"/>
      <c r="M32" s="149"/>
      <c r="N32" s="150"/>
      <c r="O32" s="409"/>
      <c r="P32" s="409"/>
      <c r="Q32" s="409"/>
      <c r="R32" s="409"/>
      <c r="S32" s="409"/>
      <c r="T32" s="409"/>
      <c r="U32" s="409"/>
      <c r="V32" s="409"/>
      <c r="W32" s="409"/>
      <c r="X32" s="409"/>
      <c r="Y32" s="409"/>
      <c r="Z32" s="409"/>
    </row>
    <row r="33">
      <c r="A33" s="28"/>
      <c r="B33" s="186" t="s">
        <v>172</v>
      </c>
      <c r="C33" s="186" t="s">
        <v>175</v>
      </c>
      <c r="D33" s="186" t="s">
        <v>243</v>
      </c>
      <c r="E33" s="187" t="s">
        <v>244</v>
      </c>
      <c r="F33" s="188" t="s">
        <v>245</v>
      </c>
      <c r="G33" s="235"/>
      <c r="H33" s="190"/>
      <c r="I33" s="157" t="s">
        <v>172</v>
      </c>
      <c r="J33" s="157" t="s">
        <v>175</v>
      </c>
      <c r="K33" s="157" t="s">
        <v>243</v>
      </c>
      <c r="L33" s="157" t="s">
        <v>244</v>
      </c>
      <c r="M33" s="401" t="s">
        <v>244</v>
      </c>
      <c r="N33" s="150"/>
    </row>
    <row r="34">
      <c r="A34" s="28"/>
      <c r="B34" s="193" t="s">
        <v>246</v>
      </c>
      <c r="C34" s="194" t="s">
        <v>1004</v>
      </c>
      <c r="D34" s="366" t="s">
        <v>410</v>
      </c>
      <c r="E34" s="367" t="s">
        <v>248</v>
      </c>
      <c r="F34" s="197">
        <v>0.25</v>
      </c>
      <c r="G34" s="198"/>
      <c r="H34" s="164"/>
      <c r="I34" s="199" t="s">
        <v>246</v>
      </c>
      <c r="J34" s="200">
        <v>689.1</v>
      </c>
      <c r="K34" s="402" t="s">
        <v>410</v>
      </c>
      <c r="L34" s="202" t="s">
        <v>248</v>
      </c>
      <c r="M34" s="203">
        <f t="shared" ref="M34:M37" si="1">J34/sum($J$34:$J$37)</f>
        <v>0.2272682299</v>
      </c>
      <c r="N34" s="203"/>
    </row>
    <row r="35">
      <c r="A35" s="28"/>
      <c r="B35" s="204" t="s">
        <v>249</v>
      </c>
      <c r="C35" s="205" t="s">
        <v>1005</v>
      </c>
      <c r="D35" s="369" t="s">
        <v>412</v>
      </c>
      <c r="E35" s="212" t="s">
        <v>248</v>
      </c>
      <c r="F35" s="208">
        <v>0.252</v>
      </c>
      <c r="G35" s="209"/>
      <c r="H35" s="164"/>
      <c r="I35" s="204" t="s">
        <v>249</v>
      </c>
      <c r="J35" s="210">
        <v>1119.8</v>
      </c>
      <c r="K35" s="369" t="s">
        <v>412</v>
      </c>
      <c r="L35" s="212" t="s">
        <v>248</v>
      </c>
      <c r="M35" s="213">
        <f t="shared" si="1"/>
        <v>0.3693149962</v>
      </c>
      <c r="N35" s="213"/>
    </row>
    <row r="36">
      <c r="A36" s="28"/>
      <c r="B36" s="214" t="s">
        <v>251</v>
      </c>
      <c r="C36" s="215" t="s">
        <v>1006</v>
      </c>
      <c r="D36" s="370" t="s">
        <v>414</v>
      </c>
      <c r="E36" s="222" t="s">
        <v>248</v>
      </c>
      <c r="F36" s="218">
        <v>0.298</v>
      </c>
      <c r="G36" s="219"/>
      <c r="H36" s="164"/>
      <c r="I36" s="214" t="s">
        <v>251</v>
      </c>
      <c r="J36" s="220">
        <v>848.8</v>
      </c>
      <c r="K36" s="370" t="s">
        <v>414</v>
      </c>
      <c r="L36" s="222" t="s">
        <v>248</v>
      </c>
      <c r="M36" s="223">
        <f t="shared" si="1"/>
        <v>0.2799379968</v>
      </c>
      <c r="N36" s="223"/>
    </row>
    <row r="37">
      <c r="A37" s="28"/>
      <c r="B37" s="224" t="s">
        <v>253</v>
      </c>
      <c r="C37" s="225" t="s">
        <v>1007</v>
      </c>
      <c r="D37" s="371" t="s">
        <v>416</v>
      </c>
      <c r="E37" s="232" t="s">
        <v>248</v>
      </c>
      <c r="F37" s="228">
        <v>0.1</v>
      </c>
      <c r="G37" s="229"/>
      <c r="H37" s="164"/>
      <c r="I37" s="224" t="s">
        <v>253</v>
      </c>
      <c r="J37" s="230">
        <v>374.4</v>
      </c>
      <c r="K37" s="371" t="s">
        <v>416</v>
      </c>
      <c r="L37" s="232" t="s">
        <v>248</v>
      </c>
      <c r="M37" s="233">
        <f t="shared" si="1"/>
        <v>0.1234787771</v>
      </c>
      <c r="N37" s="233"/>
    </row>
    <row r="38">
      <c r="A38" s="28"/>
      <c r="B38" s="28"/>
      <c r="C38" s="28"/>
      <c r="D38" s="28"/>
      <c r="E38" s="28"/>
      <c r="F38" s="28"/>
      <c r="G38" s="28"/>
    </row>
    <row r="39" ht="30.0" customHeight="1">
      <c r="A39" s="142"/>
      <c r="B39" s="234" t="s">
        <v>255</v>
      </c>
      <c r="C39" s="235"/>
      <c r="D39" s="235"/>
      <c r="E39" s="235"/>
      <c r="F39" s="235"/>
      <c r="G39" s="235"/>
      <c r="H39" s="235"/>
      <c r="I39" s="235"/>
      <c r="J39" s="235"/>
      <c r="K39" s="235"/>
      <c r="L39" s="235"/>
      <c r="M39" s="235"/>
      <c r="N39" s="236"/>
      <c r="O39" s="146"/>
      <c r="P39" s="146"/>
      <c r="Q39" s="146"/>
      <c r="R39" s="146"/>
      <c r="S39" s="146"/>
      <c r="T39" s="146"/>
      <c r="U39" s="146"/>
      <c r="V39" s="146"/>
      <c r="W39" s="146"/>
      <c r="X39" s="146"/>
      <c r="Y39" s="146"/>
      <c r="Z39" s="146"/>
    </row>
    <row r="40" ht="27.75" customHeight="1">
      <c r="A40" s="407"/>
      <c r="B40" s="432" t="s">
        <v>256</v>
      </c>
      <c r="C40" s="235"/>
      <c r="D40" s="235"/>
      <c r="E40" s="235"/>
      <c r="F40" s="235"/>
      <c r="G40" s="236"/>
      <c r="H40" s="433"/>
      <c r="I40" s="430" t="s">
        <v>257</v>
      </c>
      <c r="J40" s="149"/>
      <c r="K40" s="149"/>
      <c r="L40" s="149"/>
      <c r="M40" s="149"/>
      <c r="N40" s="150"/>
      <c r="O40" s="409"/>
      <c r="P40" s="409"/>
      <c r="Q40" s="409"/>
      <c r="R40" s="409"/>
      <c r="S40" s="409"/>
      <c r="T40" s="409"/>
      <c r="U40" s="409"/>
      <c r="V40" s="409"/>
      <c r="W40" s="409"/>
      <c r="X40" s="409"/>
      <c r="Y40" s="409"/>
      <c r="Z40" s="409"/>
    </row>
    <row r="41">
      <c r="A41" s="28"/>
      <c r="B41" s="238" t="s">
        <v>258</v>
      </c>
      <c r="C41" s="238" t="s">
        <v>259</v>
      </c>
      <c r="D41" s="238" t="s">
        <v>260</v>
      </c>
      <c r="E41" s="238" t="s">
        <v>261</v>
      </c>
      <c r="F41" s="187" t="s">
        <v>244</v>
      </c>
      <c r="G41" s="235"/>
      <c r="H41" s="190"/>
      <c r="I41" s="239" t="s">
        <v>258</v>
      </c>
      <c r="J41" s="239" t="s">
        <v>259</v>
      </c>
      <c r="K41" s="239" t="s">
        <v>260</v>
      </c>
      <c r="L41" s="240" t="s">
        <v>261</v>
      </c>
      <c r="M41" s="241"/>
      <c r="N41" s="150"/>
    </row>
    <row r="42">
      <c r="A42" s="385"/>
      <c r="B42" s="377" t="s">
        <v>262</v>
      </c>
      <c r="C42" s="243" t="s">
        <v>970</v>
      </c>
      <c r="D42" s="243">
        <v>3107.23</v>
      </c>
      <c r="E42" s="246">
        <v>1.0</v>
      </c>
      <c r="F42" s="386"/>
      <c r="G42" s="235"/>
      <c r="H42" s="387"/>
      <c r="I42" s="377" t="s">
        <v>262</v>
      </c>
      <c r="J42" s="243" t="s">
        <v>970</v>
      </c>
      <c r="K42" s="243">
        <v>3032.1</v>
      </c>
      <c r="L42" s="246">
        <v>1.0</v>
      </c>
      <c r="M42" s="386"/>
      <c r="N42" s="235"/>
      <c r="O42" s="388"/>
      <c r="P42" s="388"/>
      <c r="Q42" s="388"/>
      <c r="R42" s="388"/>
      <c r="S42" s="388"/>
      <c r="T42" s="388"/>
      <c r="U42" s="388"/>
      <c r="V42" s="388"/>
      <c r="W42" s="388"/>
      <c r="X42" s="388"/>
      <c r="Y42" s="388"/>
      <c r="Z42" s="388"/>
    </row>
    <row r="43">
      <c r="A43" s="385"/>
      <c r="B43" s="377" t="s">
        <v>158</v>
      </c>
      <c r="C43" s="243" t="s">
        <v>971</v>
      </c>
      <c r="D43" s="243">
        <v>113.31</v>
      </c>
      <c r="E43" s="246">
        <v>0.876</v>
      </c>
      <c r="F43" s="386"/>
      <c r="G43" s="235"/>
      <c r="H43" s="387"/>
      <c r="I43" s="377" t="s">
        <v>158</v>
      </c>
      <c r="J43" s="243" t="s">
        <v>971</v>
      </c>
      <c r="K43" s="243">
        <v>58.1</v>
      </c>
      <c r="L43" s="246">
        <v>0.449</v>
      </c>
      <c r="M43" s="386"/>
      <c r="N43" s="235"/>
      <c r="O43" s="388"/>
      <c r="P43" s="388"/>
      <c r="Q43" s="388"/>
      <c r="R43" s="388"/>
      <c r="S43" s="388"/>
      <c r="T43" s="388"/>
      <c r="U43" s="388"/>
      <c r="V43" s="388"/>
      <c r="W43" s="388"/>
      <c r="X43" s="388"/>
      <c r="Y43" s="388"/>
      <c r="Z43" s="388"/>
    </row>
    <row r="44">
      <c r="A44" s="385"/>
      <c r="B44" s="377" t="s">
        <v>263</v>
      </c>
      <c r="C44" s="243" t="s">
        <v>972</v>
      </c>
      <c r="D44" s="243">
        <v>79.74</v>
      </c>
      <c r="E44" s="246">
        <v>0.843</v>
      </c>
      <c r="F44" s="386"/>
      <c r="G44" s="235"/>
      <c r="H44" s="387"/>
      <c r="I44" s="377" t="s">
        <v>263</v>
      </c>
      <c r="J44" s="243" t="s">
        <v>972</v>
      </c>
      <c r="K44" s="243">
        <v>69.2</v>
      </c>
      <c r="L44" s="246">
        <v>0.731</v>
      </c>
      <c r="M44" s="386"/>
      <c r="N44" s="235"/>
      <c r="O44" s="388"/>
      <c r="P44" s="388"/>
      <c r="Q44" s="388"/>
      <c r="R44" s="388"/>
      <c r="S44" s="388"/>
      <c r="T44" s="388"/>
      <c r="U44" s="388"/>
      <c r="V44" s="388"/>
      <c r="W44" s="388"/>
      <c r="X44" s="388"/>
      <c r="Y44" s="388"/>
      <c r="Z44" s="388"/>
    </row>
    <row r="45">
      <c r="A45" s="385"/>
      <c r="B45" s="377" t="s">
        <v>264</v>
      </c>
      <c r="C45" s="243" t="s">
        <v>974</v>
      </c>
      <c r="D45" s="243">
        <v>490.43</v>
      </c>
      <c r="E45" s="246">
        <v>1.035</v>
      </c>
      <c r="F45" s="386"/>
      <c r="G45" s="235"/>
      <c r="H45" s="387"/>
      <c r="I45" s="377" t="s">
        <v>264</v>
      </c>
      <c r="J45" s="243" t="s">
        <v>974</v>
      </c>
      <c r="K45" s="243">
        <v>552.8</v>
      </c>
      <c r="L45" s="246">
        <f>K45/474</f>
        <v>1.166244726</v>
      </c>
      <c r="M45" s="386"/>
      <c r="N45" s="235"/>
      <c r="O45" s="388"/>
      <c r="P45" s="388"/>
      <c r="Q45" s="388"/>
      <c r="R45" s="388"/>
      <c r="S45" s="388"/>
      <c r="T45" s="388"/>
      <c r="U45" s="388"/>
      <c r="V45" s="388"/>
      <c r="W45" s="388"/>
      <c r="X45" s="388"/>
      <c r="Y45" s="388"/>
      <c r="Z45" s="388"/>
    </row>
    <row r="46">
      <c r="A46" s="385"/>
      <c r="B46" s="377" t="s">
        <v>265</v>
      </c>
      <c r="C46" s="243" t="s">
        <v>417</v>
      </c>
      <c r="D46" s="243">
        <v>2111.83</v>
      </c>
      <c r="E46" s="246">
        <v>1.0</v>
      </c>
      <c r="F46" s="386"/>
      <c r="G46" s="235"/>
      <c r="H46" s="387"/>
      <c r="I46" s="377" t="s">
        <v>265</v>
      </c>
      <c r="J46" s="243" t="s">
        <v>417</v>
      </c>
      <c r="K46" s="243">
        <v>1800.1</v>
      </c>
      <c r="L46" s="246">
        <v>1.0</v>
      </c>
      <c r="M46" s="386"/>
      <c r="N46" s="235"/>
      <c r="O46" s="388"/>
      <c r="P46" s="388"/>
      <c r="Q46" s="388"/>
      <c r="R46" s="388"/>
      <c r="S46" s="388"/>
      <c r="T46" s="388"/>
      <c r="U46" s="388"/>
      <c r="V46" s="388"/>
      <c r="W46" s="388"/>
      <c r="X46" s="388"/>
      <c r="Y46" s="388"/>
      <c r="Z46" s="388"/>
    </row>
    <row r="47">
      <c r="A47" s="385"/>
      <c r="B47" s="377" t="s">
        <v>267</v>
      </c>
      <c r="C47" s="243" t="s">
        <v>911</v>
      </c>
      <c r="D47" s="243">
        <v>42.3</v>
      </c>
      <c r="E47" s="246">
        <v>1.0</v>
      </c>
      <c r="F47" s="386"/>
      <c r="G47" s="235"/>
      <c r="H47" s="387"/>
      <c r="I47" s="377" t="s">
        <v>267</v>
      </c>
      <c r="J47" s="243" t="s">
        <v>911</v>
      </c>
      <c r="K47" s="243">
        <v>43.1</v>
      </c>
      <c r="L47" s="246">
        <v>0.999</v>
      </c>
      <c r="M47" s="386"/>
      <c r="N47" s="235"/>
      <c r="O47" s="388"/>
      <c r="P47" s="388"/>
      <c r="Q47" s="388"/>
      <c r="R47" s="388"/>
      <c r="S47" s="388"/>
      <c r="T47" s="388"/>
      <c r="U47" s="388"/>
      <c r="V47" s="388"/>
      <c r="W47" s="388"/>
      <c r="X47" s="388"/>
      <c r="Y47" s="388"/>
      <c r="Z47" s="388"/>
    </row>
    <row r="48">
      <c r="A48" s="385"/>
      <c r="B48" s="377" t="s">
        <v>269</v>
      </c>
      <c r="C48" s="243" t="s">
        <v>488</v>
      </c>
      <c r="D48" s="243">
        <v>74.1</v>
      </c>
      <c r="E48" s="246">
        <v>1.0</v>
      </c>
      <c r="F48" s="386"/>
      <c r="G48" s="235"/>
      <c r="H48" s="387"/>
      <c r="I48" s="377" t="s">
        <v>269</v>
      </c>
      <c r="J48" s="243" t="s">
        <v>488</v>
      </c>
      <c r="K48" s="243">
        <v>0.0</v>
      </c>
      <c r="L48" s="246">
        <v>1.0</v>
      </c>
      <c r="M48" s="386"/>
      <c r="N48" s="235"/>
      <c r="O48" s="388"/>
      <c r="P48" s="388"/>
      <c r="Q48" s="388"/>
      <c r="R48" s="388"/>
      <c r="S48" s="388"/>
      <c r="T48" s="388"/>
      <c r="U48" s="388"/>
      <c r="V48" s="388"/>
      <c r="W48" s="388"/>
      <c r="X48" s="388"/>
      <c r="Y48" s="388"/>
      <c r="Z48" s="388"/>
    </row>
    <row r="49">
      <c r="A49" s="385"/>
      <c r="B49" s="377" t="s">
        <v>271</v>
      </c>
      <c r="C49" s="243" t="s">
        <v>912</v>
      </c>
      <c r="D49" s="243">
        <v>22.08</v>
      </c>
      <c r="E49" s="246">
        <v>1.0</v>
      </c>
      <c r="F49" s="386"/>
      <c r="G49" s="235"/>
      <c r="H49" s="389"/>
      <c r="I49" s="377" t="s">
        <v>271</v>
      </c>
      <c r="J49" s="243" t="s">
        <v>912</v>
      </c>
      <c r="K49" s="243">
        <v>27.0</v>
      </c>
      <c r="L49" s="246">
        <f>K49/23</f>
        <v>1.173913043</v>
      </c>
      <c r="M49" s="386"/>
      <c r="N49" s="235"/>
      <c r="O49" s="388"/>
      <c r="P49" s="388"/>
      <c r="Q49" s="388"/>
      <c r="R49" s="388"/>
      <c r="S49" s="388"/>
      <c r="T49" s="388"/>
      <c r="U49" s="388"/>
      <c r="V49" s="388"/>
      <c r="W49" s="388"/>
      <c r="X49" s="388"/>
      <c r="Y49" s="388"/>
      <c r="Z49" s="388"/>
    </row>
    <row r="50">
      <c r="A50" s="385"/>
      <c r="B50" s="377" t="s">
        <v>304</v>
      </c>
      <c r="C50" s="243" t="s">
        <v>490</v>
      </c>
      <c r="D50" s="243">
        <v>4720.71</v>
      </c>
      <c r="E50" s="246">
        <v>1.0</v>
      </c>
      <c r="F50" s="386"/>
      <c r="G50" s="235"/>
      <c r="H50" s="389"/>
      <c r="I50" s="377" t="s">
        <v>304</v>
      </c>
      <c r="J50" s="243" t="s">
        <v>490</v>
      </c>
      <c r="K50" s="243">
        <v>2151.0</v>
      </c>
      <c r="L50" s="246">
        <v>0.482</v>
      </c>
      <c r="M50" s="386"/>
      <c r="N50" s="235"/>
      <c r="O50" s="388"/>
      <c r="P50" s="388"/>
      <c r="Q50" s="388"/>
      <c r="R50" s="388"/>
      <c r="S50" s="388"/>
      <c r="T50" s="388"/>
      <c r="U50" s="388"/>
      <c r="V50" s="388"/>
      <c r="W50" s="388"/>
      <c r="X50" s="388"/>
      <c r="Y50" s="388"/>
      <c r="Z50" s="388"/>
    </row>
    <row r="51">
      <c r="A51" s="385"/>
      <c r="B51" s="377" t="s">
        <v>297</v>
      </c>
      <c r="C51" s="243" t="s">
        <v>491</v>
      </c>
      <c r="D51" s="243">
        <v>1129.66</v>
      </c>
      <c r="E51" s="246">
        <v>1.0</v>
      </c>
      <c r="F51" s="386"/>
      <c r="G51" s="235"/>
      <c r="H51" s="389"/>
      <c r="I51" s="377" t="s">
        <v>297</v>
      </c>
      <c r="J51" s="243" t="s">
        <v>491</v>
      </c>
      <c r="K51" s="243">
        <v>501.3</v>
      </c>
      <c r="L51" s="246">
        <v>0.627</v>
      </c>
      <c r="M51" s="386"/>
      <c r="N51" s="235"/>
      <c r="O51" s="388"/>
      <c r="P51" s="388"/>
      <c r="Q51" s="388"/>
      <c r="R51" s="388"/>
      <c r="S51" s="388"/>
      <c r="T51" s="388"/>
      <c r="U51" s="388"/>
      <c r="V51" s="388"/>
      <c r="W51" s="388"/>
      <c r="X51" s="388"/>
      <c r="Y51" s="388"/>
      <c r="Z51" s="388"/>
    </row>
    <row r="52">
      <c r="A52" s="385"/>
      <c r="B52" s="377" t="s">
        <v>492</v>
      </c>
      <c r="C52" s="243" t="s">
        <v>493</v>
      </c>
      <c r="D52" s="243">
        <v>561.1</v>
      </c>
      <c r="E52" s="246">
        <v>1.122</v>
      </c>
      <c r="F52" s="386"/>
      <c r="G52" s="235"/>
      <c r="H52" s="389"/>
      <c r="I52" s="377" t="s">
        <v>492</v>
      </c>
      <c r="J52" s="243" t="s">
        <v>493</v>
      </c>
      <c r="K52" s="243">
        <v>382.0</v>
      </c>
      <c r="L52" s="246">
        <v>1.0</v>
      </c>
      <c r="M52" s="386"/>
      <c r="N52" s="235"/>
      <c r="O52" s="388"/>
      <c r="P52" s="388"/>
      <c r="Q52" s="388"/>
      <c r="R52" s="388"/>
      <c r="S52" s="388"/>
      <c r="T52" s="388"/>
      <c r="U52" s="388"/>
      <c r="V52" s="388"/>
      <c r="W52" s="388"/>
      <c r="X52" s="388"/>
      <c r="Y52" s="388"/>
      <c r="Z52" s="388"/>
    </row>
    <row r="53">
      <c r="A53" s="385"/>
      <c r="B53" s="377" t="s">
        <v>313</v>
      </c>
      <c r="C53" s="243" t="s">
        <v>494</v>
      </c>
      <c r="D53" s="243">
        <v>43.76</v>
      </c>
      <c r="E53" s="246">
        <v>1.152</v>
      </c>
      <c r="F53" s="386"/>
      <c r="G53" s="235"/>
      <c r="H53" s="389"/>
      <c r="I53" s="377" t="s">
        <v>313</v>
      </c>
      <c r="J53" s="243" t="s">
        <v>494</v>
      </c>
      <c r="K53" s="243">
        <v>27.9</v>
      </c>
      <c r="L53" s="246">
        <v>0.931</v>
      </c>
      <c r="M53" s="386"/>
      <c r="N53" s="235"/>
      <c r="O53" s="388"/>
      <c r="P53" s="388"/>
      <c r="Q53" s="388"/>
      <c r="R53" s="388"/>
      <c r="S53" s="388"/>
      <c r="T53" s="388"/>
      <c r="U53" s="388"/>
      <c r="V53" s="388"/>
      <c r="W53" s="388"/>
      <c r="X53" s="388"/>
      <c r="Y53" s="388"/>
      <c r="Z53" s="388"/>
    </row>
    <row r="54">
      <c r="A54" s="385"/>
      <c r="B54" s="377" t="s">
        <v>559</v>
      </c>
      <c r="C54" s="243" t="s">
        <v>913</v>
      </c>
      <c r="D54" s="243">
        <v>1.65</v>
      </c>
      <c r="E54" s="246">
        <v>1.0</v>
      </c>
      <c r="F54" s="386"/>
      <c r="G54" s="235"/>
      <c r="H54" s="389"/>
      <c r="I54" s="377" t="s">
        <v>559</v>
      </c>
      <c r="J54" s="243" t="s">
        <v>913</v>
      </c>
      <c r="K54" s="243">
        <v>0.0517</v>
      </c>
      <c r="L54" s="246">
        <v>1.0</v>
      </c>
      <c r="M54" s="386"/>
      <c r="N54" s="235"/>
      <c r="O54" s="388"/>
      <c r="P54" s="388"/>
      <c r="Q54" s="388"/>
      <c r="R54" s="388"/>
      <c r="S54" s="388"/>
      <c r="T54" s="388"/>
      <c r="U54" s="388"/>
      <c r="V54" s="388"/>
      <c r="W54" s="388"/>
      <c r="X54" s="388"/>
      <c r="Y54" s="388"/>
      <c r="Z54" s="388"/>
    </row>
    <row r="55">
      <c r="A55" s="28"/>
      <c r="B55" s="28"/>
      <c r="C55" s="28"/>
      <c r="D55" s="28"/>
      <c r="E55" s="28"/>
      <c r="F55" s="28"/>
      <c r="G55" s="28"/>
    </row>
    <row r="56" ht="30.0" customHeight="1">
      <c r="A56" s="142"/>
      <c r="B56" s="234" t="s">
        <v>273</v>
      </c>
      <c r="C56" s="235"/>
      <c r="D56" s="235"/>
      <c r="E56" s="235"/>
      <c r="F56" s="235"/>
      <c r="G56" s="235"/>
      <c r="H56" s="235"/>
      <c r="I56" s="235"/>
      <c r="J56" s="235"/>
      <c r="K56" s="235"/>
      <c r="L56" s="235"/>
      <c r="M56" s="235"/>
      <c r="N56" s="236"/>
      <c r="O56" s="146"/>
      <c r="P56" s="146"/>
      <c r="Q56" s="146"/>
      <c r="R56" s="146"/>
      <c r="S56" s="146"/>
      <c r="T56" s="146"/>
      <c r="U56" s="146"/>
      <c r="V56" s="146"/>
      <c r="W56" s="146"/>
      <c r="X56" s="146"/>
      <c r="Y56" s="146"/>
      <c r="Z56" s="146"/>
    </row>
    <row r="57" ht="27.75" customHeight="1">
      <c r="A57" s="407"/>
      <c r="B57" s="432" t="s">
        <v>274</v>
      </c>
      <c r="C57" s="235"/>
      <c r="D57" s="235"/>
      <c r="E57" s="235"/>
      <c r="F57" s="235"/>
      <c r="G57" s="236"/>
      <c r="H57" s="433"/>
      <c r="I57" s="430" t="s">
        <v>275</v>
      </c>
      <c r="J57" s="149"/>
      <c r="K57" s="149"/>
      <c r="L57" s="149"/>
      <c r="M57" s="149"/>
      <c r="N57" s="150"/>
      <c r="O57" s="409"/>
      <c r="P57" s="409"/>
      <c r="Q57" s="409"/>
      <c r="R57" s="409"/>
      <c r="S57" s="409"/>
      <c r="T57" s="409"/>
      <c r="U57" s="409"/>
      <c r="V57" s="409"/>
      <c r="W57" s="409"/>
      <c r="X57" s="409"/>
      <c r="Y57" s="409"/>
      <c r="Z57" s="409"/>
    </row>
    <row r="58">
      <c r="A58" s="28"/>
      <c r="B58" s="238" t="s">
        <v>258</v>
      </c>
      <c r="C58" s="238" t="s">
        <v>276</v>
      </c>
      <c r="D58" s="238" t="s">
        <v>260</v>
      </c>
      <c r="E58" s="376" t="s">
        <v>261</v>
      </c>
      <c r="F58" s="251" t="s">
        <v>244</v>
      </c>
      <c r="G58" s="252"/>
      <c r="H58" s="190"/>
      <c r="I58" s="239" t="s">
        <v>258</v>
      </c>
      <c r="J58" s="239" t="s">
        <v>276</v>
      </c>
      <c r="K58" s="239" t="s">
        <v>260</v>
      </c>
      <c r="L58" s="240" t="s">
        <v>261</v>
      </c>
      <c r="M58" s="241"/>
      <c r="N58" s="150"/>
    </row>
    <row r="59">
      <c r="A59" s="385"/>
      <c r="B59" s="377" t="s">
        <v>277</v>
      </c>
      <c r="C59" s="243" t="s">
        <v>278</v>
      </c>
      <c r="D59" s="243">
        <v>0.5</v>
      </c>
      <c r="E59" s="246">
        <v>0.5555556</v>
      </c>
      <c r="F59" s="391"/>
      <c r="G59" s="256"/>
      <c r="H59" s="387"/>
      <c r="I59" s="377" t="s">
        <v>277</v>
      </c>
      <c r="J59" s="243" t="s">
        <v>278</v>
      </c>
      <c r="K59" s="243">
        <v>0.0633</v>
      </c>
      <c r="L59" s="246">
        <v>0.07</v>
      </c>
      <c r="M59" s="391"/>
      <c r="N59" s="256"/>
      <c r="O59" s="388"/>
      <c r="P59" s="388"/>
      <c r="Q59" s="388"/>
      <c r="R59" s="388"/>
      <c r="S59" s="388"/>
      <c r="T59" s="388"/>
      <c r="U59" s="388"/>
      <c r="V59" s="388"/>
      <c r="W59" s="388"/>
      <c r="X59" s="388"/>
      <c r="Y59" s="388"/>
      <c r="Z59" s="388"/>
    </row>
    <row r="60">
      <c r="A60" s="385"/>
      <c r="B60" s="377" t="s">
        <v>280</v>
      </c>
      <c r="C60" s="243" t="s">
        <v>281</v>
      </c>
      <c r="D60" s="243">
        <v>266.78</v>
      </c>
      <c r="E60" s="246">
        <v>1.0</v>
      </c>
      <c r="F60" s="386"/>
      <c r="G60" s="235"/>
      <c r="H60" s="387"/>
      <c r="I60" s="377" t="s">
        <v>280</v>
      </c>
      <c r="J60" s="243" t="s">
        <v>281</v>
      </c>
      <c r="K60" s="243">
        <v>48.5</v>
      </c>
      <c r="L60" s="246">
        <v>0.538</v>
      </c>
      <c r="M60" s="386"/>
      <c r="N60" s="235"/>
      <c r="O60" s="388"/>
      <c r="P60" s="388"/>
      <c r="Q60" s="388"/>
      <c r="R60" s="388"/>
      <c r="S60" s="388"/>
      <c r="T60" s="388"/>
      <c r="U60" s="388"/>
      <c r="V60" s="388"/>
      <c r="W60" s="388"/>
      <c r="X60" s="388"/>
      <c r="Y60" s="388"/>
      <c r="Z60" s="388"/>
    </row>
    <row r="61">
      <c r="A61" s="385"/>
      <c r="B61" s="377" t="s">
        <v>282</v>
      </c>
      <c r="C61" s="243" t="s">
        <v>283</v>
      </c>
      <c r="D61" s="243">
        <v>0.0</v>
      </c>
      <c r="E61" s="246">
        <v>0.0</v>
      </c>
      <c r="F61" s="386"/>
      <c r="G61" s="235"/>
      <c r="H61" s="387"/>
      <c r="I61" s="377" t="s">
        <v>282</v>
      </c>
      <c r="J61" s="243" t="s">
        <v>283</v>
      </c>
      <c r="K61" s="243">
        <v>0.0</v>
      </c>
      <c r="L61" s="246">
        <v>0.0</v>
      </c>
      <c r="M61" s="386"/>
      <c r="N61" s="235"/>
      <c r="O61" s="388"/>
      <c r="P61" s="388"/>
      <c r="Q61" s="388"/>
      <c r="R61" s="388"/>
      <c r="S61" s="388"/>
      <c r="T61" s="388"/>
      <c r="U61" s="388"/>
      <c r="V61" s="388"/>
      <c r="W61" s="388"/>
      <c r="X61" s="388"/>
      <c r="Y61" s="388"/>
      <c r="Z61" s="388"/>
    </row>
    <row r="62">
      <c r="A62" s="385"/>
      <c r="B62" s="377" t="s">
        <v>284</v>
      </c>
      <c r="C62" s="243" t="s">
        <v>285</v>
      </c>
      <c r="D62" s="243">
        <v>12.35</v>
      </c>
      <c r="E62" s="246">
        <v>0.8233333</v>
      </c>
      <c r="F62" s="386"/>
      <c r="G62" s="235"/>
      <c r="H62" s="387"/>
      <c r="I62" s="377" t="s">
        <v>284</v>
      </c>
      <c r="J62" s="243" t="s">
        <v>285</v>
      </c>
      <c r="K62" s="243">
        <v>5.1</v>
      </c>
      <c r="L62" s="246">
        <v>0.343</v>
      </c>
      <c r="M62" s="386"/>
      <c r="N62" s="235"/>
      <c r="O62" s="388"/>
      <c r="P62" s="388"/>
      <c r="Q62" s="388"/>
      <c r="R62" s="388"/>
      <c r="S62" s="388"/>
      <c r="T62" s="388"/>
      <c r="U62" s="388"/>
      <c r="V62" s="388"/>
      <c r="W62" s="388"/>
      <c r="X62" s="388"/>
      <c r="Y62" s="388"/>
      <c r="Z62" s="388"/>
    </row>
    <row r="63">
      <c r="A63" s="385"/>
      <c r="B63" s="377" t="s">
        <v>286</v>
      </c>
      <c r="C63" s="243">
        <v>0.1</v>
      </c>
      <c r="D63" s="243">
        <v>0.34</v>
      </c>
      <c r="E63" s="246">
        <v>1.0</v>
      </c>
      <c r="F63" s="386"/>
      <c r="G63" s="235"/>
      <c r="H63" s="387"/>
      <c r="I63" s="377" t="s">
        <v>286</v>
      </c>
      <c r="J63" s="243">
        <v>0.1</v>
      </c>
      <c r="K63" s="243">
        <v>0.0171</v>
      </c>
      <c r="L63" s="246">
        <v>0.143</v>
      </c>
      <c r="M63" s="386"/>
      <c r="N63" s="235"/>
      <c r="O63" s="388"/>
      <c r="P63" s="388"/>
      <c r="Q63" s="388"/>
      <c r="R63" s="388"/>
      <c r="S63" s="388"/>
      <c r="T63" s="388"/>
      <c r="U63" s="388"/>
      <c r="V63" s="388"/>
      <c r="W63" s="388"/>
      <c r="X63" s="388"/>
      <c r="Y63" s="388"/>
      <c r="Z63" s="388"/>
    </row>
    <row r="64">
      <c r="A64" s="385"/>
      <c r="B64" s="377" t="s">
        <v>287</v>
      </c>
      <c r="C64" s="243">
        <v>1.2</v>
      </c>
      <c r="D64" s="243">
        <v>3.86</v>
      </c>
      <c r="E64" s="246">
        <v>1.0</v>
      </c>
      <c r="F64" s="386"/>
      <c r="G64" s="235"/>
      <c r="H64" s="387"/>
      <c r="I64" s="377" t="s">
        <v>287</v>
      </c>
      <c r="J64" s="243">
        <v>1.2</v>
      </c>
      <c r="K64" s="243">
        <v>6.5</v>
      </c>
      <c r="L64" s="246">
        <v>1.0</v>
      </c>
      <c r="M64" s="386"/>
      <c r="N64" s="235"/>
      <c r="O64" s="388"/>
      <c r="P64" s="388"/>
      <c r="Q64" s="388"/>
      <c r="R64" s="388"/>
      <c r="S64" s="388"/>
      <c r="T64" s="388"/>
      <c r="U64" s="388"/>
      <c r="V64" s="388"/>
      <c r="W64" s="388"/>
      <c r="X64" s="388"/>
      <c r="Y64" s="388"/>
      <c r="Z64" s="388"/>
    </row>
    <row r="65">
      <c r="A65" s="385"/>
      <c r="B65" s="377" t="s">
        <v>288</v>
      </c>
      <c r="C65" s="243">
        <v>1.3</v>
      </c>
      <c r="D65" s="243">
        <v>3.77</v>
      </c>
      <c r="E65" s="246">
        <v>1.0</v>
      </c>
      <c r="F65" s="386"/>
      <c r="G65" s="235"/>
      <c r="H65" s="387"/>
      <c r="I65" s="377" t="s">
        <v>288</v>
      </c>
      <c r="J65" s="243">
        <v>1.3</v>
      </c>
      <c r="K65" s="243">
        <v>4.3</v>
      </c>
      <c r="L65" s="246">
        <v>1.0</v>
      </c>
      <c r="M65" s="386"/>
      <c r="N65" s="235"/>
      <c r="O65" s="388"/>
      <c r="P65" s="388"/>
      <c r="Q65" s="388"/>
      <c r="R65" s="388"/>
      <c r="S65" s="388"/>
      <c r="T65" s="388"/>
      <c r="U65" s="388"/>
      <c r="V65" s="388"/>
      <c r="W65" s="388"/>
      <c r="X65" s="388"/>
      <c r="Y65" s="388"/>
      <c r="Z65" s="388"/>
    </row>
    <row r="66">
      <c r="A66" s="385"/>
      <c r="B66" s="377" t="s">
        <v>289</v>
      </c>
      <c r="C66" s="243" t="s">
        <v>290</v>
      </c>
      <c r="D66" s="243">
        <v>42.57</v>
      </c>
      <c r="E66" s="246">
        <v>1.2162857</v>
      </c>
      <c r="F66" s="386"/>
      <c r="G66" s="235"/>
      <c r="H66" s="387"/>
      <c r="I66" s="377" t="s">
        <v>289</v>
      </c>
      <c r="J66" s="243" t="s">
        <v>290</v>
      </c>
      <c r="K66" s="243">
        <v>74.2</v>
      </c>
      <c r="L66" s="246">
        <f>K66/35</f>
        <v>2.12</v>
      </c>
      <c r="M66" s="386"/>
      <c r="N66" s="235"/>
      <c r="O66" s="388"/>
      <c r="P66" s="388"/>
      <c r="Q66" s="388"/>
      <c r="R66" s="388"/>
      <c r="S66" s="388"/>
      <c r="T66" s="388"/>
      <c r="U66" s="388"/>
      <c r="V66" s="388"/>
      <c r="W66" s="388"/>
      <c r="X66" s="388"/>
      <c r="Y66" s="388"/>
      <c r="Z66" s="388"/>
    </row>
    <row r="67">
      <c r="A67" s="385"/>
      <c r="B67" s="377" t="s">
        <v>291</v>
      </c>
      <c r="C67" s="243">
        <v>5.0</v>
      </c>
      <c r="D67" s="243">
        <v>3.88</v>
      </c>
      <c r="E67" s="246">
        <v>0.776</v>
      </c>
      <c r="F67" s="386"/>
      <c r="G67" s="235"/>
      <c r="H67" s="387"/>
      <c r="I67" s="377" t="s">
        <v>291</v>
      </c>
      <c r="J67" s="243">
        <v>5.0</v>
      </c>
      <c r="K67" s="243">
        <v>3.0</v>
      </c>
      <c r="L67" s="246">
        <v>0.592</v>
      </c>
      <c r="M67" s="386"/>
      <c r="N67" s="235"/>
      <c r="O67" s="388"/>
      <c r="P67" s="388"/>
      <c r="Q67" s="388"/>
      <c r="R67" s="388"/>
      <c r="S67" s="388"/>
      <c r="T67" s="388"/>
      <c r="U67" s="388"/>
      <c r="V67" s="388"/>
      <c r="W67" s="388"/>
      <c r="X67" s="388"/>
      <c r="Y67" s="388"/>
      <c r="Z67" s="388"/>
    </row>
    <row r="68">
      <c r="A68" s="385"/>
      <c r="B68" s="377" t="s">
        <v>292</v>
      </c>
      <c r="C68" s="243" t="s">
        <v>293</v>
      </c>
      <c r="D68" s="243">
        <v>5.78</v>
      </c>
      <c r="E68" s="246">
        <v>1.0</v>
      </c>
      <c r="F68" s="386"/>
      <c r="G68" s="235"/>
      <c r="H68" s="387"/>
      <c r="I68" s="377" t="s">
        <v>292</v>
      </c>
      <c r="J68" s="243" t="s">
        <v>293</v>
      </c>
      <c r="K68" s="243">
        <v>1.8</v>
      </c>
      <c r="L68" s="246">
        <v>1.0</v>
      </c>
      <c r="M68" s="386"/>
      <c r="N68" s="235"/>
      <c r="O68" s="388"/>
      <c r="P68" s="388"/>
      <c r="Q68" s="388"/>
      <c r="R68" s="388"/>
      <c r="S68" s="388"/>
      <c r="T68" s="388"/>
      <c r="U68" s="388"/>
      <c r="V68" s="388"/>
      <c r="W68" s="388"/>
      <c r="X68" s="388"/>
      <c r="Y68" s="388"/>
      <c r="Z68" s="388"/>
    </row>
    <row r="69">
      <c r="A69" s="385"/>
      <c r="B69" s="377" t="s">
        <v>294</v>
      </c>
      <c r="C69" s="243" t="s">
        <v>914</v>
      </c>
      <c r="D69" s="243">
        <v>0.65</v>
      </c>
      <c r="E69" s="246">
        <v>1.0</v>
      </c>
      <c r="F69" s="386"/>
      <c r="G69" s="235"/>
      <c r="H69" s="387"/>
      <c r="I69" s="377" t="s">
        <v>294</v>
      </c>
      <c r="J69" s="243" t="s">
        <v>914</v>
      </c>
      <c r="K69" s="243">
        <v>0.5</v>
      </c>
      <c r="L69" s="246">
        <v>0.913</v>
      </c>
      <c r="M69" s="386"/>
      <c r="N69" s="235"/>
      <c r="O69" s="388"/>
      <c r="P69" s="388"/>
      <c r="Q69" s="388"/>
      <c r="R69" s="388"/>
      <c r="S69" s="388"/>
      <c r="T69" s="388"/>
      <c r="U69" s="388"/>
      <c r="V69" s="388"/>
      <c r="W69" s="388"/>
      <c r="X69" s="388"/>
      <c r="Y69" s="388"/>
      <c r="Z69" s="388"/>
    </row>
    <row r="70">
      <c r="A70" s="385"/>
      <c r="B70" s="377" t="s">
        <v>296</v>
      </c>
      <c r="C70" s="243">
        <v>0.0024</v>
      </c>
      <c r="D70" s="243">
        <v>0.01</v>
      </c>
      <c r="E70" s="246">
        <v>1.0</v>
      </c>
      <c r="F70" s="386"/>
      <c r="G70" s="235"/>
      <c r="H70" s="387"/>
      <c r="I70" s="377" t="s">
        <v>296</v>
      </c>
      <c r="J70" s="243">
        <v>0.0024</v>
      </c>
      <c r="K70" s="243">
        <v>0.0</v>
      </c>
      <c r="L70" s="246">
        <v>0.0</v>
      </c>
      <c r="M70" s="386"/>
      <c r="N70" s="235"/>
      <c r="O70" s="388"/>
      <c r="P70" s="388"/>
      <c r="Q70" s="388"/>
      <c r="R70" s="388"/>
      <c r="S70" s="388"/>
      <c r="T70" s="388"/>
      <c r="U70" s="388"/>
      <c r="V70" s="388"/>
      <c r="W70" s="388"/>
      <c r="X70" s="388"/>
      <c r="Y70" s="388"/>
      <c r="Z70" s="388"/>
    </row>
    <row r="71">
      <c r="A71" s="385"/>
      <c r="B71" s="377" t="s">
        <v>299</v>
      </c>
      <c r="C71" s="243" t="s">
        <v>300</v>
      </c>
      <c r="D71" s="243">
        <v>18.02</v>
      </c>
      <c r="E71" s="246">
        <v>1.0</v>
      </c>
      <c r="F71" s="386"/>
      <c r="G71" s="235"/>
      <c r="H71" s="387"/>
      <c r="I71" s="377" t="s">
        <v>299</v>
      </c>
      <c r="J71" s="243" t="s">
        <v>300</v>
      </c>
      <c r="K71" s="243">
        <v>61.1</v>
      </c>
      <c r="L71" s="246">
        <f>K71/45</f>
        <v>1.357777778</v>
      </c>
      <c r="M71" s="386"/>
      <c r="N71" s="235"/>
      <c r="O71" s="388"/>
      <c r="P71" s="388"/>
      <c r="Q71" s="388"/>
      <c r="R71" s="388"/>
      <c r="S71" s="388"/>
      <c r="T71" s="388"/>
      <c r="U71" s="388"/>
      <c r="V71" s="388"/>
      <c r="W71" s="388"/>
      <c r="X71" s="388"/>
      <c r="Y71" s="388"/>
      <c r="Z71" s="388"/>
    </row>
    <row r="72">
      <c r="A72" s="385"/>
      <c r="B72" s="377" t="s">
        <v>302</v>
      </c>
      <c r="C72" s="243" t="s">
        <v>303</v>
      </c>
      <c r="D72" s="243">
        <v>2213.84</v>
      </c>
      <c r="E72" s="246">
        <v>1.0</v>
      </c>
      <c r="F72" s="386"/>
      <c r="G72" s="235"/>
      <c r="H72" s="387"/>
      <c r="I72" s="377" t="s">
        <v>302</v>
      </c>
      <c r="J72" s="243" t="s">
        <v>303</v>
      </c>
      <c r="K72" s="243">
        <v>1066.0</v>
      </c>
      <c r="L72" s="246">
        <v>1.0</v>
      </c>
      <c r="M72" s="386"/>
      <c r="N72" s="235"/>
      <c r="O72" s="388"/>
      <c r="P72" s="388"/>
      <c r="Q72" s="388"/>
      <c r="R72" s="388"/>
      <c r="S72" s="388"/>
      <c r="T72" s="388"/>
      <c r="U72" s="388"/>
      <c r="V72" s="388"/>
      <c r="W72" s="388"/>
      <c r="X72" s="388"/>
      <c r="Y72" s="388"/>
      <c r="Z72" s="388"/>
    </row>
    <row r="73">
      <c r="A73" s="385"/>
      <c r="B73" s="377" t="s">
        <v>305</v>
      </c>
      <c r="C73" s="243" t="s">
        <v>306</v>
      </c>
      <c r="D73" s="243">
        <v>12.01</v>
      </c>
      <c r="E73" s="246">
        <v>1.0</v>
      </c>
      <c r="F73" s="386"/>
      <c r="G73" s="235"/>
      <c r="H73" s="387"/>
      <c r="I73" s="377" t="s">
        <v>305</v>
      </c>
      <c r="J73" s="243" t="s">
        <v>306</v>
      </c>
      <c r="K73" s="243">
        <v>7.4</v>
      </c>
      <c r="L73" s="246">
        <v>0.675</v>
      </c>
      <c r="M73" s="386"/>
      <c r="N73" s="235"/>
      <c r="O73" s="388"/>
      <c r="P73" s="388"/>
      <c r="Q73" s="388"/>
      <c r="R73" s="388"/>
      <c r="S73" s="388"/>
      <c r="T73" s="388"/>
      <c r="U73" s="388"/>
      <c r="V73" s="388"/>
      <c r="W73" s="388"/>
      <c r="X73" s="388"/>
      <c r="Y73" s="388"/>
      <c r="Z73" s="388"/>
    </row>
    <row r="74">
      <c r="A74" s="385"/>
      <c r="B74" s="377" t="s">
        <v>307</v>
      </c>
      <c r="C74" s="243" t="s">
        <v>308</v>
      </c>
      <c r="D74" s="243">
        <v>3.29</v>
      </c>
      <c r="E74" s="246">
        <v>1.0</v>
      </c>
      <c r="F74" s="386"/>
      <c r="G74" s="235"/>
      <c r="H74" s="387"/>
      <c r="I74" s="377" t="s">
        <v>307</v>
      </c>
      <c r="J74" s="243" t="s">
        <v>308</v>
      </c>
      <c r="K74" s="243">
        <v>1.5</v>
      </c>
      <c r="L74" s="246">
        <v>1.0</v>
      </c>
      <c r="M74" s="386"/>
      <c r="N74" s="235"/>
      <c r="O74" s="388"/>
      <c r="P74" s="388"/>
      <c r="Q74" s="388"/>
      <c r="R74" s="388"/>
      <c r="S74" s="388"/>
      <c r="T74" s="388"/>
      <c r="U74" s="388"/>
      <c r="V74" s="388"/>
      <c r="W74" s="388"/>
      <c r="X74" s="388"/>
      <c r="Y74" s="388"/>
      <c r="Z74" s="388"/>
    </row>
    <row r="75">
      <c r="A75" s="385"/>
      <c r="B75" s="377" t="s">
        <v>309</v>
      </c>
      <c r="C75" s="243" t="s">
        <v>310</v>
      </c>
      <c r="D75" s="243">
        <v>6.51</v>
      </c>
      <c r="E75" s="246">
        <v>1.0</v>
      </c>
      <c r="F75" s="386"/>
      <c r="G75" s="235"/>
      <c r="H75" s="387"/>
      <c r="I75" s="377" t="s">
        <v>309</v>
      </c>
      <c r="J75" s="243" t="s">
        <v>310</v>
      </c>
      <c r="K75" s="243">
        <v>6.5</v>
      </c>
      <c r="L75" s="246">
        <v>1.0</v>
      </c>
      <c r="M75" s="386"/>
      <c r="N75" s="235"/>
      <c r="O75" s="388"/>
      <c r="P75" s="388"/>
      <c r="Q75" s="388"/>
      <c r="R75" s="388"/>
      <c r="S75" s="388"/>
      <c r="T75" s="388"/>
      <c r="U75" s="388"/>
      <c r="V75" s="388"/>
      <c r="W75" s="388"/>
      <c r="X75" s="388"/>
      <c r="Y75" s="388"/>
      <c r="Z75" s="388"/>
    </row>
    <row r="76">
      <c r="A76" s="385"/>
      <c r="B76" s="377" t="s">
        <v>311</v>
      </c>
      <c r="C76" s="243" t="s">
        <v>312</v>
      </c>
      <c r="D76" s="243">
        <v>0.13</v>
      </c>
      <c r="E76" s="246">
        <v>1.0</v>
      </c>
      <c r="F76" s="386"/>
      <c r="G76" s="235"/>
      <c r="H76" s="387"/>
      <c r="I76" s="377" t="s">
        <v>311</v>
      </c>
      <c r="J76" s="243" t="s">
        <v>312</v>
      </c>
      <c r="K76" s="243">
        <v>0.1</v>
      </c>
      <c r="L76" s="246">
        <v>1.0</v>
      </c>
      <c r="M76" s="386"/>
      <c r="N76" s="235"/>
      <c r="O76" s="388"/>
      <c r="P76" s="388"/>
      <c r="Q76" s="388"/>
      <c r="R76" s="388"/>
      <c r="S76" s="388"/>
      <c r="T76" s="388"/>
      <c r="U76" s="388"/>
      <c r="V76" s="388"/>
      <c r="W76" s="388"/>
      <c r="X76" s="388"/>
      <c r="Y76" s="388"/>
      <c r="Z76" s="388"/>
    </row>
    <row r="77">
      <c r="A77" s="385"/>
      <c r="B77" s="377" t="s">
        <v>167</v>
      </c>
      <c r="C77" s="243">
        <v>3700.0</v>
      </c>
      <c r="D77" s="243">
        <v>1050.04</v>
      </c>
      <c r="E77" s="246">
        <v>0.2837946</v>
      </c>
      <c r="F77" s="386"/>
      <c r="G77" s="235"/>
      <c r="H77" s="387"/>
      <c r="I77" s="377" t="s">
        <v>167</v>
      </c>
      <c r="J77" s="243">
        <v>3700.0</v>
      </c>
      <c r="K77" s="243">
        <v>433.6</v>
      </c>
      <c r="L77" s="246">
        <v>0.117</v>
      </c>
      <c r="M77" s="386"/>
      <c r="N77" s="235"/>
      <c r="O77" s="388"/>
      <c r="P77" s="388"/>
      <c r="Q77" s="388"/>
      <c r="R77" s="388"/>
      <c r="S77" s="388"/>
      <c r="T77" s="388"/>
      <c r="U77" s="388"/>
      <c r="V77" s="388"/>
      <c r="W77" s="388"/>
      <c r="X77" s="388"/>
      <c r="Y77" s="388"/>
      <c r="Z77" s="388"/>
    </row>
    <row r="78">
      <c r="A78" s="28"/>
    </row>
    <row r="79" ht="30.0" customHeight="1">
      <c r="A79" s="142"/>
      <c r="B79" s="261" t="s">
        <v>314</v>
      </c>
      <c r="C79" s="262"/>
      <c r="D79" s="262"/>
      <c r="E79" s="262"/>
      <c r="F79" s="262"/>
      <c r="G79" s="262"/>
      <c r="H79" s="262"/>
      <c r="I79" s="262"/>
      <c r="J79" s="262"/>
      <c r="K79" s="262"/>
      <c r="L79" s="262"/>
      <c r="M79" s="262"/>
      <c r="N79" s="263"/>
      <c r="O79" s="146"/>
      <c r="P79" s="146"/>
      <c r="Q79" s="146"/>
      <c r="R79" s="146"/>
      <c r="S79" s="146"/>
      <c r="T79" s="146"/>
      <c r="U79" s="146"/>
      <c r="V79" s="146"/>
      <c r="W79" s="146"/>
      <c r="X79" s="146"/>
      <c r="Y79" s="146"/>
      <c r="Z79" s="146"/>
    </row>
    <row r="80">
      <c r="A80" s="28"/>
      <c r="B80" s="264" t="s">
        <v>315</v>
      </c>
      <c r="C80" s="262"/>
      <c r="D80" s="262"/>
      <c r="E80" s="262"/>
      <c r="F80" s="262"/>
      <c r="G80" s="262"/>
      <c r="H80" s="262"/>
      <c r="I80" s="262"/>
      <c r="J80" s="262"/>
      <c r="K80" s="262"/>
      <c r="L80" s="262"/>
      <c r="M80" s="262"/>
      <c r="N80" s="263"/>
    </row>
    <row r="81">
      <c r="A81" s="28"/>
      <c r="B81" s="265" t="s">
        <v>316</v>
      </c>
      <c r="C81" s="266" t="s">
        <v>317</v>
      </c>
      <c r="D81" s="266" t="s">
        <v>318</v>
      </c>
      <c r="E81" s="267" t="s">
        <v>319</v>
      </c>
      <c r="F81" s="268" t="s">
        <v>320</v>
      </c>
      <c r="G81" s="269" t="s">
        <v>321</v>
      </c>
      <c r="H81" s="164"/>
      <c r="I81" s="270" t="s">
        <v>316</v>
      </c>
      <c r="J81" s="271" t="s">
        <v>317</v>
      </c>
      <c r="K81" s="271" t="s">
        <v>318</v>
      </c>
      <c r="L81" s="272" t="s">
        <v>319</v>
      </c>
      <c r="M81" s="273" t="s">
        <v>322</v>
      </c>
      <c r="N81" s="274" t="s">
        <v>323</v>
      </c>
    </row>
    <row r="82">
      <c r="A82" s="28"/>
      <c r="B82" s="275" t="s">
        <v>94</v>
      </c>
      <c r="C82" s="276" t="s">
        <v>324</v>
      </c>
      <c r="D82" s="277" t="s">
        <v>325</v>
      </c>
      <c r="E82" s="278">
        <v>3.0</v>
      </c>
      <c r="F82" s="279" t="str">
        <f t="shared" ref="F82:F90" si="2">IF(ISBLANK(E82),"— Belum diisi",IF(E82=1,"Sangat Tidak Sesuai",IF(E82=2,"Tidak Sesuai",IF(E82=3,"Cukup Sesuai",IF(E82=4,"Sesuai",IF(E82=5,"Sangat Sesuai","—"))))))</f>
        <v>Cukup Sesuai</v>
      </c>
      <c r="G82" s="280" t="s">
        <v>915</v>
      </c>
      <c r="H82" s="164"/>
      <c r="I82" s="281" t="s">
        <v>94</v>
      </c>
      <c r="J82" s="282" t="s">
        <v>324</v>
      </c>
      <c r="K82" s="283" t="s">
        <v>325</v>
      </c>
      <c r="L82" s="278">
        <v>3.0</v>
      </c>
      <c r="M82" s="285" t="str">
        <f t="shared" ref="M82:M90" si="3">IF(ISBLANK(L82),"— Belum diisi",IF(L82=1,"Sangat Tidak Sesuai",IF(L82=2,"Tidak Sesuai",IF(L82=3,"Cukup Sesuai",IF(L82=4,"Sesuai",IF(L82=5,"Sangat Sesuai","—"))))))</f>
        <v>Cukup Sesuai</v>
      </c>
      <c r="N82" s="280" t="s">
        <v>915</v>
      </c>
    </row>
    <row r="83">
      <c r="A83" s="28"/>
      <c r="B83" s="275" t="s">
        <v>95</v>
      </c>
      <c r="C83" s="286" t="s">
        <v>327</v>
      </c>
      <c r="D83" s="287" t="s">
        <v>328</v>
      </c>
      <c r="E83" s="278">
        <v>3.0</v>
      </c>
      <c r="F83" s="288" t="str">
        <f t="shared" si="2"/>
        <v>Cukup Sesuai</v>
      </c>
      <c r="G83" s="280" t="s">
        <v>1008</v>
      </c>
      <c r="H83" s="164"/>
      <c r="I83" s="281" t="s">
        <v>95</v>
      </c>
      <c r="J83" s="286" t="s">
        <v>327</v>
      </c>
      <c r="K83" s="287" t="s">
        <v>328</v>
      </c>
      <c r="L83" s="278">
        <v>3.0</v>
      </c>
      <c r="M83" s="288" t="str">
        <f t="shared" si="3"/>
        <v>Cukup Sesuai</v>
      </c>
      <c r="N83" s="280" t="s">
        <v>1008</v>
      </c>
    </row>
    <row r="84">
      <c r="A84" s="28"/>
      <c r="B84" s="275" t="s">
        <v>96</v>
      </c>
      <c r="C84" s="276" t="s">
        <v>330</v>
      </c>
      <c r="D84" s="277" t="s">
        <v>331</v>
      </c>
      <c r="E84" s="278">
        <v>3.0</v>
      </c>
      <c r="F84" s="279" t="str">
        <f t="shared" si="2"/>
        <v>Cukup Sesuai</v>
      </c>
      <c r="G84" s="297"/>
      <c r="H84" s="164"/>
      <c r="I84" s="281" t="s">
        <v>96</v>
      </c>
      <c r="J84" s="282" t="s">
        <v>330</v>
      </c>
      <c r="K84" s="289" t="s">
        <v>331</v>
      </c>
      <c r="L84" s="278">
        <v>3.0</v>
      </c>
      <c r="M84" s="290" t="str">
        <f t="shared" si="3"/>
        <v>Cukup Sesuai</v>
      </c>
      <c r="N84" s="280" t="s">
        <v>1009</v>
      </c>
    </row>
    <row r="85">
      <c r="A85" s="28"/>
      <c r="B85" s="275" t="s">
        <v>97</v>
      </c>
      <c r="C85" s="286" t="s">
        <v>334</v>
      </c>
      <c r="D85" s="287" t="s">
        <v>335</v>
      </c>
      <c r="E85" s="278">
        <v>3.0</v>
      </c>
      <c r="F85" s="288" t="str">
        <f t="shared" si="2"/>
        <v>Cukup Sesuai</v>
      </c>
      <c r="G85" s="297"/>
      <c r="H85" s="164"/>
      <c r="I85" s="281" t="s">
        <v>97</v>
      </c>
      <c r="J85" s="286" t="s">
        <v>334</v>
      </c>
      <c r="K85" s="287" t="s">
        <v>335</v>
      </c>
      <c r="L85" s="278">
        <v>3.0</v>
      </c>
      <c r="M85" s="288" t="str">
        <f t="shared" si="3"/>
        <v>Cukup Sesuai</v>
      </c>
      <c r="N85" s="278" t="s">
        <v>1010</v>
      </c>
    </row>
    <row r="86">
      <c r="A86" s="28"/>
      <c r="B86" s="275" t="s">
        <v>98</v>
      </c>
      <c r="C86" s="276" t="s">
        <v>336</v>
      </c>
      <c r="D86" s="277" t="s">
        <v>337</v>
      </c>
      <c r="E86" s="278">
        <v>3.0</v>
      </c>
      <c r="F86" s="279" t="str">
        <f t="shared" si="2"/>
        <v>Cukup Sesuai</v>
      </c>
      <c r="G86" s="297"/>
      <c r="H86" s="164"/>
      <c r="I86" s="281" t="s">
        <v>98</v>
      </c>
      <c r="J86" s="282" t="s">
        <v>336</v>
      </c>
      <c r="K86" s="289" t="s">
        <v>337</v>
      </c>
      <c r="L86" s="278">
        <v>3.0</v>
      </c>
      <c r="M86" s="290" t="str">
        <f t="shared" si="3"/>
        <v>Cukup Sesuai</v>
      </c>
      <c r="N86" s="280" t="s">
        <v>1011</v>
      </c>
    </row>
    <row r="87">
      <c r="A87" s="28"/>
      <c r="B87" s="291" t="s">
        <v>99</v>
      </c>
      <c r="C87" s="286" t="s">
        <v>339</v>
      </c>
      <c r="D87" s="287" t="s">
        <v>340</v>
      </c>
      <c r="E87" s="278">
        <v>3.0</v>
      </c>
      <c r="F87" s="288" t="str">
        <f t="shared" si="2"/>
        <v>Cukup Sesuai</v>
      </c>
      <c r="G87" s="278" t="s">
        <v>1012</v>
      </c>
      <c r="H87" s="164"/>
      <c r="I87" s="292" t="s">
        <v>99</v>
      </c>
      <c r="J87" s="286" t="s">
        <v>339</v>
      </c>
      <c r="K87" s="287" t="s">
        <v>340</v>
      </c>
      <c r="L87" s="278">
        <v>3.0</v>
      </c>
      <c r="M87" s="288" t="str">
        <f t="shared" si="3"/>
        <v>Cukup Sesuai</v>
      </c>
      <c r="N87" s="278" t="s">
        <v>1012</v>
      </c>
    </row>
    <row r="88">
      <c r="A88" s="28"/>
      <c r="B88" s="293" t="s">
        <v>100</v>
      </c>
      <c r="C88" s="276" t="s">
        <v>343</v>
      </c>
      <c r="D88" s="277" t="s">
        <v>344</v>
      </c>
      <c r="E88" s="278">
        <v>3.0</v>
      </c>
      <c r="F88" s="279" t="str">
        <f t="shared" si="2"/>
        <v>Cukup Sesuai</v>
      </c>
      <c r="G88" s="280" t="s">
        <v>345</v>
      </c>
      <c r="H88" s="164"/>
      <c r="I88" s="294" t="s">
        <v>100</v>
      </c>
      <c r="J88" s="282" t="s">
        <v>343</v>
      </c>
      <c r="K88" s="289" t="s">
        <v>344</v>
      </c>
      <c r="L88" s="278">
        <v>3.0</v>
      </c>
      <c r="M88" s="290" t="str">
        <f t="shared" si="3"/>
        <v>Cukup Sesuai</v>
      </c>
      <c r="N88" s="280" t="s">
        <v>345</v>
      </c>
    </row>
    <row r="89">
      <c r="A89" s="28"/>
      <c r="B89" s="295" t="s">
        <v>101</v>
      </c>
      <c r="C89" s="286" t="s">
        <v>346</v>
      </c>
      <c r="D89" s="287" t="s">
        <v>347</v>
      </c>
      <c r="E89" s="278">
        <v>3.0</v>
      </c>
      <c r="F89" s="288" t="str">
        <f t="shared" si="2"/>
        <v>Cukup Sesuai</v>
      </c>
      <c r="G89" s="280" t="s">
        <v>1013</v>
      </c>
      <c r="H89" s="164"/>
      <c r="I89" s="296" t="s">
        <v>101</v>
      </c>
      <c r="J89" s="286" t="s">
        <v>346</v>
      </c>
      <c r="K89" s="287" t="s">
        <v>347</v>
      </c>
      <c r="L89" s="278">
        <v>3.0</v>
      </c>
      <c r="M89" s="288" t="str">
        <f t="shared" si="3"/>
        <v>Cukup Sesuai</v>
      </c>
      <c r="N89" s="297"/>
    </row>
    <row r="90">
      <c r="A90" s="28"/>
      <c r="B90" s="298" t="s">
        <v>102</v>
      </c>
      <c r="C90" s="276" t="s">
        <v>349</v>
      </c>
      <c r="D90" s="277" t="s">
        <v>350</v>
      </c>
      <c r="E90" s="278">
        <v>4.0</v>
      </c>
      <c r="F90" s="279" t="str">
        <f t="shared" si="2"/>
        <v>Sesuai</v>
      </c>
      <c r="G90" s="297"/>
      <c r="H90" s="164"/>
      <c r="I90" s="299" t="s">
        <v>102</v>
      </c>
      <c r="J90" s="282" t="s">
        <v>349</v>
      </c>
      <c r="K90" s="289" t="s">
        <v>350</v>
      </c>
      <c r="L90" s="278">
        <v>4.0</v>
      </c>
      <c r="M90" s="290" t="str">
        <f t="shared" si="3"/>
        <v>Sesuai</v>
      </c>
      <c r="N90" s="297"/>
    </row>
    <row r="91">
      <c r="A91" s="28"/>
      <c r="B91" s="300" t="s">
        <v>351</v>
      </c>
      <c r="C91" s="301"/>
      <c r="D91" s="27"/>
      <c r="E91" s="302">
        <f>IFERROR(AVERAGE(E82,E83,E84,E85,E86,E87,E88,E89,E90),"—")</f>
        <v>3.111111111</v>
      </c>
      <c r="F91" s="303" t="str">
        <f>IF(ISNUMBER(E91),IF(E91&lt;2,"Sangat Tidak Sesuai",IF(E91&lt;3,"Tidak Sesuai",IF(E91&lt;4,"Cukup Sesuai",IF(E91&lt;4.6,"Sesuai","Sangat Sesuai")))),"—")</f>
        <v>Cukup Sesuai</v>
      </c>
      <c r="G91" s="3"/>
      <c r="H91" s="164"/>
      <c r="I91" s="304" t="s">
        <v>351</v>
      </c>
      <c r="J91" s="301"/>
      <c r="K91" s="27"/>
      <c r="L91" s="294">
        <f>IFERROR(AVERAGE(L82,L83,L84,L85,L86,L87,L88,L89,L90),"—")</f>
        <v>3.111111111</v>
      </c>
      <c r="M91" s="305" t="str">
        <f>IF(ISNUMBER(L91),IF(L91&lt;2,"Sangat Tidak Sesuai",IF(L91&lt;3,"Tidak Sesuai",IF(L91&lt;4,"Cukup Sesuai",IF(L91&lt;4.6,"Sesuai","Sangat Sesuai")))),"—")</f>
        <v>Cukup Sesuai</v>
      </c>
      <c r="N91" s="3"/>
    </row>
    <row r="92">
      <c r="A92" s="28"/>
      <c r="B92" s="306"/>
    </row>
    <row r="93" ht="30.0" customHeight="1">
      <c r="A93" s="142"/>
      <c r="B93" s="307" t="s">
        <v>352</v>
      </c>
      <c r="C93" s="170"/>
      <c r="D93" s="170"/>
      <c r="E93" s="170"/>
      <c r="F93" s="170"/>
      <c r="G93" s="170"/>
      <c r="H93" s="170"/>
      <c r="I93" s="170"/>
      <c r="J93" s="170"/>
      <c r="K93" s="170"/>
      <c r="L93" s="170"/>
      <c r="M93" s="170"/>
      <c r="N93" s="308"/>
      <c r="O93" s="146"/>
      <c r="P93" s="146"/>
      <c r="Q93" s="146"/>
      <c r="R93" s="146"/>
      <c r="S93" s="146"/>
      <c r="T93" s="146"/>
      <c r="U93" s="146"/>
      <c r="V93" s="146"/>
      <c r="W93" s="146"/>
      <c r="X93" s="146"/>
      <c r="Y93" s="146"/>
      <c r="Z93" s="146"/>
    </row>
    <row r="94" ht="27.75" customHeight="1">
      <c r="A94" s="407"/>
      <c r="B94" s="309" t="s">
        <v>353</v>
      </c>
      <c r="C94" s="310"/>
      <c r="D94" s="310"/>
      <c r="E94" s="310"/>
      <c r="F94" s="310"/>
      <c r="G94" s="311"/>
      <c r="H94" s="437"/>
      <c r="I94" s="313" t="s">
        <v>354</v>
      </c>
      <c r="J94" s="30"/>
      <c r="K94" s="30"/>
      <c r="L94" s="30"/>
      <c r="M94" s="30"/>
      <c r="N94" s="3"/>
      <c r="O94" s="409"/>
      <c r="P94" s="409"/>
      <c r="Q94" s="409"/>
      <c r="R94" s="409"/>
      <c r="S94" s="409"/>
      <c r="T94" s="409"/>
      <c r="U94" s="409"/>
      <c r="V94" s="409"/>
      <c r="W94" s="409"/>
      <c r="X94" s="409"/>
      <c r="Y94" s="409"/>
      <c r="Z94" s="409"/>
    </row>
    <row r="95">
      <c r="A95" s="28"/>
      <c r="B95" s="314" t="s">
        <v>355</v>
      </c>
      <c r="C95" s="315"/>
      <c r="D95" s="315"/>
      <c r="E95" s="315"/>
      <c r="F95" s="315"/>
      <c r="G95" s="316"/>
      <c r="H95" s="260"/>
      <c r="I95" s="317" t="s">
        <v>355</v>
      </c>
      <c r="J95" s="30"/>
      <c r="K95" s="30"/>
      <c r="L95" s="30"/>
      <c r="M95" s="30"/>
      <c r="N95" s="3"/>
    </row>
    <row r="96">
      <c r="A96" s="28"/>
      <c r="B96" s="318" t="s">
        <v>356</v>
      </c>
      <c r="H96" s="260"/>
      <c r="I96" s="319" t="s">
        <v>356</v>
      </c>
      <c r="J96" s="30"/>
      <c r="K96" s="30"/>
      <c r="L96" s="30"/>
      <c r="M96" s="30"/>
      <c r="N96" s="3"/>
    </row>
    <row r="97">
      <c r="A97" s="28"/>
      <c r="B97" s="320" t="s">
        <v>1014</v>
      </c>
      <c r="G97" s="321"/>
      <c r="H97" s="322"/>
      <c r="I97" s="323" t="s">
        <v>1014</v>
      </c>
      <c r="J97" s="324"/>
      <c r="K97" s="324"/>
      <c r="L97" s="324"/>
      <c r="M97" s="324"/>
      <c r="N97" s="325"/>
    </row>
    <row r="98">
      <c r="A98" s="28"/>
      <c r="B98" s="326"/>
      <c r="G98" s="321"/>
      <c r="H98" s="322"/>
      <c r="I98" s="327"/>
      <c r="N98" s="328"/>
    </row>
    <row r="99">
      <c r="A99" s="28"/>
      <c r="B99" s="326"/>
      <c r="G99" s="321"/>
      <c r="H99" s="322"/>
      <c r="I99" s="327"/>
      <c r="N99" s="328"/>
    </row>
    <row r="100">
      <c r="A100" s="28"/>
      <c r="B100" s="329"/>
      <c r="C100" s="330"/>
      <c r="D100" s="330"/>
      <c r="E100" s="330"/>
      <c r="F100" s="330"/>
      <c r="G100" s="331"/>
      <c r="H100" s="322"/>
      <c r="I100" s="332"/>
      <c r="J100" s="333"/>
      <c r="K100" s="333"/>
      <c r="L100" s="333"/>
      <c r="M100" s="333"/>
      <c r="N100" s="334"/>
    </row>
    <row r="101">
      <c r="A101" s="28"/>
      <c r="B101" s="28"/>
      <c r="C101" s="28"/>
      <c r="D101" s="28"/>
      <c r="E101" s="28"/>
      <c r="F101" s="28"/>
      <c r="G101" s="28"/>
    </row>
    <row r="102">
      <c r="A102" s="28"/>
      <c r="B102" s="335" t="s">
        <v>358</v>
      </c>
      <c r="C102" s="144"/>
      <c r="D102" s="144"/>
      <c r="E102" s="144"/>
      <c r="F102" s="144"/>
      <c r="G102" s="145"/>
      <c r="H102" s="164"/>
      <c r="I102" s="336" t="s">
        <v>358</v>
      </c>
      <c r="J102" s="30"/>
      <c r="K102" s="30"/>
      <c r="L102" s="30"/>
      <c r="M102" s="30"/>
      <c r="N102" s="3"/>
    </row>
    <row r="103">
      <c r="A103" s="28"/>
      <c r="B103" s="337" t="s">
        <v>359</v>
      </c>
      <c r="H103" s="260"/>
      <c r="I103" s="338" t="s">
        <v>359</v>
      </c>
      <c r="J103" s="30"/>
      <c r="K103" s="30"/>
      <c r="L103" s="30"/>
      <c r="M103" s="30"/>
      <c r="N103" s="3"/>
    </row>
    <row r="104">
      <c r="A104" s="28"/>
      <c r="B104" s="339" t="s">
        <v>613</v>
      </c>
      <c r="G104" s="328"/>
      <c r="H104" s="340"/>
      <c r="I104" s="341" t="s">
        <v>613</v>
      </c>
      <c r="J104" s="324"/>
      <c r="K104" s="324"/>
      <c r="L104" s="324"/>
      <c r="M104" s="324"/>
      <c r="N104" s="325"/>
    </row>
    <row r="105">
      <c r="A105" s="28"/>
      <c r="B105" s="342"/>
      <c r="G105" s="328"/>
      <c r="H105" s="340"/>
      <c r="I105" s="327"/>
      <c r="N105" s="328"/>
    </row>
    <row r="106">
      <c r="A106" s="28"/>
      <c r="B106" s="342"/>
      <c r="G106" s="328"/>
      <c r="H106" s="340"/>
      <c r="I106" s="327"/>
      <c r="N106" s="328"/>
    </row>
    <row r="107">
      <c r="A107" s="28"/>
      <c r="B107" s="343"/>
      <c r="C107" s="163"/>
      <c r="D107" s="163"/>
      <c r="E107" s="163"/>
      <c r="F107" s="163"/>
      <c r="G107" s="344"/>
      <c r="H107" s="340"/>
      <c r="I107" s="332"/>
      <c r="J107" s="333"/>
      <c r="K107" s="333"/>
      <c r="L107" s="333"/>
      <c r="M107" s="333"/>
      <c r="N107" s="334"/>
    </row>
    <row r="108">
      <c r="A108" s="28"/>
    </row>
    <row r="109">
      <c r="A109" s="28"/>
      <c r="B109" s="345" t="s">
        <v>361</v>
      </c>
      <c r="C109" s="30"/>
      <c r="D109" s="30"/>
      <c r="E109" s="30"/>
      <c r="F109" s="30"/>
      <c r="G109" s="3"/>
      <c r="H109" s="164"/>
      <c r="I109" s="346" t="s">
        <v>361</v>
      </c>
      <c r="J109" s="30"/>
      <c r="K109" s="30"/>
      <c r="L109" s="30"/>
      <c r="M109" s="30"/>
      <c r="N109" s="3"/>
    </row>
    <row r="110">
      <c r="A110" s="28"/>
      <c r="B110" s="347" t="s">
        <v>362</v>
      </c>
      <c r="C110" s="30"/>
      <c r="D110" s="30"/>
      <c r="E110" s="30"/>
      <c r="F110" s="30"/>
      <c r="G110" s="3"/>
      <c r="H110" s="164"/>
      <c r="I110" s="348" t="s">
        <v>362</v>
      </c>
      <c r="J110" s="30"/>
      <c r="K110" s="30"/>
      <c r="L110" s="30"/>
      <c r="M110" s="30"/>
      <c r="N110" s="3"/>
    </row>
    <row r="111">
      <c r="A111" s="28"/>
      <c r="B111" s="349" t="s">
        <v>363</v>
      </c>
      <c r="C111" s="324"/>
      <c r="D111" s="324"/>
      <c r="E111" s="324"/>
      <c r="F111" s="324"/>
      <c r="G111" s="325"/>
      <c r="H111" s="340"/>
      <c r="I111" s="350" t="s">
        <v>363</v>
      </c>
      <c r="J111" s="324"/>
      <c r="K111" s="324"/>
      <c r="L111" s="324"/>
      <c r="M111" s="324"/>
      <c r="N111" s="325"/>
    </row>
    <row r="112">
      <c r="A112" s="28"/>
      <c r="B112" s="327"/>
      <c r="G112" s="328"/>
      <c r="H112" s="340"/>
      <c r="I112" s="327"/>
      <c r="N112" s="328"/>
    </row>
    <row r="113">
      <c r="A113" s="28"/>
      <c r="B113" s="327"/>
      <c r="G113" s="328"/>
      <c r="H113" s="340"/>
      <c r="I113" s="327"/>
      <c r="N113" s="328"/>
    </row>
    <row r="114">
      <c r="A114" s="28"/>
      <c r="B114" s="332"/>
      <c r="C114" s="333"/>
      <c r="D114" s="333"/>
      <c r="E114" s="333"/>
      <c r="F114" s="333"/>
      <c r="G114" s="334"/>
      <c r="H114" s="340"/>
      <c r="I114" s="332"/>
      <c r="J114" s="333"/>
      <c r="K114" s="333"/>
      <c r="L114" s="333"/>
      <c r="M114" s="333"/>
      <c r="N114" s="334"/>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sheetData>
  <mergeCells count="135">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8:G58"/>
    <mergeCell ref="F59:G59"/>
    <mergeCell ref="F60:G60"/>
    <mergeCell ref="F61:G61"/>
    <mergeCell ref="F62:G62"/>
    <mergeCell ref="F63:G63"/>
    <mergeCell ref="F64:G64"/>
    <mergeCell ref="F72:G72"/>
    <mergeCell ref="F73:G73"/>
    <mergeCell ref="F74:G74"/>
    <mergeCell ref="F75:G75"/>
    <mergeCell ref="F76:G76"/>
    <mergeCell ref="F77:G77"/>
    <mergeCell ref="F65:G65"/>
    <mergeCell ref="F66:G66"/>
    <mergeCell ref="F67:G67"/>
    <mergeCell ref="F68:G68"/>
    <mergeCell ref="F69:G69"/>
    <mergeCell ref="F70:G70"/>
    <mergeCell ref="F71:G71"/>
    <mergeCell ref="I15:N15"/>
    <mergeCell ref="M16:N16"/>
    <mergeCell ref="B2:N2"/>
    <mergeCell ref="B3:N3"/>
    <mergeCell ref="B5:C5"/>
    <mergeCell ref="D5:E5"/>
    <mergeCell ref="B14:N14"/>
    <mergeCell ref="B15:G15"/>
    <mergeCell ref="F16:G16"/>
    <mergeCell ref="F21:G21"/>
    <mergeCell ref="F22:G22"/>
    <mergeCell ref="F23:G23"/>
    <mergeCell ref="F25:G25"/>
    <mergeCell ref="F26:G26"/>
    <mergeCell ref="F27:G27"/>
    <mergeCell ref="F29:G29"/>
    <mergeCell ref="F33:G33"/>
    <mergeCell ref="F17:G17"/>
    <mergeCell ref="M17:N17"/>
    <mergeCell ref="F18:G18"/>
    <mergeCell ref="M18:N18"/>
    <mergeCell ref="F19:G19"/>
    <mergeCell ref="M19:N19"/>
    <mergeCell ref="M21:N21"/>
    <mergeCell ref="M22:N22"/>
    <mergeCell ref="M23:N23"/>
    <mergeCell ref="M25:N25"/>
    <mergeCell ref="M26:N26"/>
    <mergeCell ref="M27:N27"/>
    <mergeCell ref="M29:N29"/>
    <mergeCell ref="B31:N31"/>
    <mergeCell ref="B32:G32"/>
    <mergeCell ref="I32:N32"/>
    <mergeCell ref="M33:N33"/>
    <mergeCell ref="B39:N39"/>
    <mergeCell ref="B40:G40"/>
    <mergeCell ref="I40:N40"/>
    <mergeCell ref="M41:N41"/>
    <mergeCell ref="M42:N42"/>
    <mergeCell ref="M43:N43"/>
    <mergeCell ref="M44:N44"/>
    <mergeCell ref="M45:N45"/>
    <mergeCell ref="M46:N46"/>
    <mergeCell ref="M47:N47"/>
    <mergeCell ref="M48:N48"/>
    <mergeCell ref="B109:G109"/>
    <mergeCell ref="B110:G110"/>
    <mergeCell ref="B111:G114"/>
    <mergeCell ref="I111:N114"/>
    <mergeCell ref="B102:G102"/>
    <mergeCell ref="I102:N102"/>
    <mergeCell ref="B103:G103"/>
    <mergeCell ref="I103:N103"/>
    <mergeCell ref="B104:G107"/>
    <mergeCell ref="I104:N107"/>
    <mergeCell ref="I109:N109"/>
    <mergeCell ref="I110:N110"/>
    <mergeCell ref="M49:N49"/>
    <mergeCell ref="M50:N50"/>
    <mergeCell ref="M51:N51"/>
    <mergeCell ref="M52:N52"/>
    <mergeCell ref="M53:N53"/>
    <mergeCell ref="M54:N54"/>
    <mergeCell ref="B56:N56"/>
    <mergeCell ref="B57:G57"/>
    <mergeCell ref="I57:N57"/>
    <mergeCell ref="M58:N58"/>
    <mergeCell ref="M59:N59"/>
    <mergeCell ref="M60:N60"/>
    <mergeCell ref="M61:N61"/>
    <mergeCell ref="M62:N62"/>
    <mergeCell ref="M63:N63"/>
    <mergeCell ref="M64:N64"/>
    <mergeCell ref="M65:N65"/>
    <mergeCell ref="M66:N66"/>
    <mergeCell ref="M67:N67"/>
    <mergeCell ref="M68:N68"/>
    <mergeCell ref="M69:N69"/>
    <mergeCell ref="M70:N70"/>
    <mergeCell ref="M71:N71"/>
    <mergeCell ref="M72:N72"/>
    <mergeCell ref="M73:N73"/>
    <mergeCell ref="M74:N74"/>
    <mergeCell ref="M75:N75"/>
    <mergeCell ref="M76:N76"/>
    <mergeCell ref="M77:N77"/>
    <mergeCell ref="B79:N79"/>
    <mergeCell ref="B80:N80"/>
    <mergeCell ref="B91:D91"/>
    <mergeCell ref="F91:G91"/>
    <mergeCell ref="I91:K91"/>
    <mergeCell ref="M91:N91"/>
    <mergeCell ref="I96:N96"/>
    <mergeCell ref="I97:N100"/>
    <mergeCell ref="B93:N93"/>
    <mergeCell ref="B94:G94"/>
    <mergeCell ref="I94:N94"/>
    <mergeCell ref="B95:G95"/>
    <mergeCell ref="I95:N95"/>
    <mergeCell ref="B96:G96"/>
    <mergeCell ref="B97:G100"/>
  </mergeCells>
  <conditionalFormatting sqref="E42:E54 E59:E77 L59:L77 L42:L54">
    <cfRule type="cellIs" dxfId="2" priority="1" operator="greaterThan">
      <formula>"100%"</formula>
    </cfRule>
  </conditionalFormatting>
  <conditionalFormatting sqref="E42:E54 E59:E77 L59:L77 L42:L54">
    <cfRule type="cellIs" dxfId="1" priority="2" operator="lessThan">
      <formula>"100%"</formula>
    </cfRule>
  </conditionalFormatting>
  <conditionalFormatting sqref="L42:L54 L59:L77">
    <cfRule type="cellIs" dxfId="0" priority="3" operator="equal">
      <formula>"100%"</formula>
    </cfRule>
  </conditionalFormatting>
  <conditionalFormatting sqref="E59:E77 E42:E54">
    <cfRule type="cellIs" dxfId="3" priority="4" operator="equal">
      <formula>"100%"</formula>
    </cfRule>
  </conditionalFormatting>
  <dataValidations>
    <dataValidation type="list" allowBlank="1" showInputMessage="1" showErrorMessage="1" prompt="Nilai Tidak Valid - Silakan pilih nilai 1–5 dari dropdown." sqref="E82:E90 L82:L90">
      <formula1>"1,2,3,4,5"</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2026-06-08T04:57:19Z</dcterms:created>
  <dc:creator>openpyxl</dc:creator>
</cp:coreProperties>
</file>

<file path=docProps/custom.xml><?xml version="1.0" encoding="utf-8"?>
<Properties xmlns="http://schemas.openxmlformats.org/officeDocument/2006/custom-properties" xmlns:vt="http://schemas.openxmlformats.org/officeDocument/2006/docPropsVTypes"/>
</file>